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ev\Games\Pickleball\"/>
    </mc:Choice>
  </mc:AlternateContent>
  <xr:revisionPtr revIDLastSave="0" documentId="13_ncr:1_{4E3643A5-3AA0-4990-864A-B7E8DB90298E}" xr6:coauthVersionLast="47" xr6:coauthVersionMax="47" xr10:uidLastSave="{00000000-0000-0000-0000-000000000000}"/>
  <bookViews>
    <workbookView xWindow="28680" yWindow="-285" windowWidth="29040" windowHeight="15720" activeTab="3" xr2:uid="{72370699-3E21-40A9-BA00-E29E891429F5}"/>
  </bookViews>
  <sheets>
    <sheet name="Late Tuesday" sheetId="5" r:id="rId1"/>
    <sheet name="Rank History" sheetId="6" r:id="rId2"/>
    <sheet name="Doubles Rankings" sheetId="1" r:id="rId3"/>
    <sheet name="Doubles Event" sheetId="2" r:id="rId4"/>
    <sheet name="Singles Rankings" sheetId="3" r:id="rId5"/>
    <sheet name="Singles Event" sheetId="4" r:id="rId6"/>
  </sheets>
  <definedNames>
    <definedName name="_xlnm._FilterDatabase" localSheetId="3" hidden="1">'Doubles Event'!$A$1:$D$1</definedName>
    <definedName name="_xlnm._FilterDatabase" localSheetId="2" hidden="1">'Doubles Rankings'!$A$1:$D$524</definedName>
    <definedName name="_xlnm._FilterDatabase" localSheetId="0" hidden="1">'Late Tuesday'!$A$1:$D$1</definedName>
    <definedName name="_xlnm._FilterDatabase" localSheetId="1" hidden="1">'Rank History'!$A$1:$E$1</definedName>
    <definedName name="_xlnm._FilterDatabase" localSheetId="5" hidden="1">'Singles Event'!$A$1:$C$1</definedName>
    <definedName name="_xlnm._FilterDatabase" localSheetId="4" hidden="1">'Singles Rankings'!$A$1:$D$31</definedName>
    <definedName name="DOUBLESRANKING" comment="Doubles Ranking">'Doubles Rankings'!$A$2:$D$524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8" i="2" l="1"/>
  <c r="C6" i="2"/>
  <c r="D17" i="2"/>
  <c r="C9" i="2"/>
  <c r="D16" i="2"/>
  <c r="C14" i="2"/>
  <c r="D15" i="2"/>
  <c r="C7" i="2"/>
  <c r="D14" i="2"/>
  <c r="C11" i="2"/>
  <c r="D13" i="2"/>
  <c r="C18" i="2"/>
  <c r="D12" i="2"/>
  <c r="C13" i="2"/>
  <c r="D11" i="2"/>
  <c r="C3" i="2"/>
  <c r="D10" i="2"/>
  <c r="C10" i="2"/>
  <c r="D9" i="2"/>
  <c r="C12" i="2"/>
  <c r="D8" i="2"/>
  <c r="C16" i="2"/>
  <c r="D7" i="2"/>
  <c r="C8" i="2"/>
  <c r="D6" i="2"/>
  <c r="C4" i="2"/>
  <c r="D5" i="2"/>
  <c r="C15" i="2"/>
  <c r="D4" i="2"/>
  <c r="C2" i="2"/>
  <c r="D3" i="2"/>
  <c r="C17" i="2"/>
  <c r="D2" i="2"/>
  <c r="C5" i="2"/>
  <c r="E1" i="1"/>
  <c r="C4" i="4" l="1"/>
  <c r="D9" i="5" l="1"/>
  <c r="C9" i="5"/>
  <c r="D3" i="5"/>
  <c r="C3" i="5"/>
  <c r="D2" i="5"/>
  <c r="C2" i="5"/>
  <c r="D6" i="5"/>
  <c r="C6" i="5"/>
  <c r="D4" i="5"/>
  <c r="C4" i="5"/>
  <c r="D7" i="5"/>
  <c r="C7" i="5"/>
  <c r="D5" i="5"/>
  <c r="C5" i="5"/>
  <c r="D10" i="5"/>
  <c r="C10" i="5"/>
  <c r="D8" i="5"/>
  <c r="C8" i="5"/>
</calcChain>
</file>

<file path=xl/sharedStrings.xml><?xml version="1.0" encoding="utf-8"?>
<sst xmlns="http://schemas.openxmlformats.org/spreadsheetml/2006/main" count="618" uniqueCount="541">
  <si>
    <t>RANK</t>
  </si>
  <si>
    <t>PLAYER</t>
  </si>
  <si>
    <t>RATING</t>
  </si>
  <si>
    <t>RR PLAYED</t>
  </si>
  <si>
    <t>Michael Carse</t>
  </si>
  <si>
    <t>Mark Rawlins</t>
  </si>
  <si>
    <t>Zvika Rosenboum</t>
  </si>
  <si>
    <t>Steve Thompson</t>
  </si>
  <si>
    <t>Jerry Beck</t>
  </si>
  <si>
    <t>Behrad Samadi</t>
  </si>
  <si>
    <t>Akshay Naidoo</t>
  </si>
  <si>
    <t>Tim Rossiter</t>
  </si>
  <si>
    <t>Gareth Wilkinson</t>
  </si>
  <si>
    <t>Zsu Strommer</t>
  </si>
  <si>
    <t>Mike Cullen</t>
  </si>
  <si>
    <t>John Corallo</t>
  </si>
  <si>
    <t>Eshaan Vij</t>
  </si>
  <si>
    <t>Casey Berlin</t>
  </si>
  <si>
    <t>Michael Kariotis</t>
  </si>
  <si>
    <t>Leigh Hipkins</t>
  </si>
  <si>
    <t>Carlos Farjallah</t>
  </si>
  <si>
    <t>Jake Kelly</t>
  </si>
  <si>
    <t>Nik Jha</t>
  </si>
  <si>
    <t>Idan Roberts</t>
  </si>
  <si>
    <t>Jason Bartley</t>
  </si>
  <si>
    <t>Elena Testori</t>
  </si>
  <si>
    <t>Ermanno Scerrati</t>
  </si>
  <si>
    <t>Dana Karani</t>
  </si>
  <si>
    <t>Pawan Negi</t>
  </si>
  <si>
    <t>Carlo Ylagan</t>
  </si>
  <si>
    <t>Craig Pascoe</t>
  </si>
  <si>
    <t>Johan Nilsson</t>
  </si>
  <si>
    <t>Toby Mitchell</t>
  </si>
  <si>
    <t>Bryan Amigo</t>
  </si>
  <si>
    <t>Ricky Pagayona</t>
  </si>
  <si>
    <t>Neil Coley</t>
  </si>
  <si>
    <t>Ash Gunning</t>
  </si>
  <si>
    <t>Mark Aylward</t>
  </si>
  <si>
    <t>Tommy Tennant</t>
  </si>
  <si>
    <t>Jona Narborough</t>
  </si>
  <si>
    <t>Brian Tang</t>
  </si>
  <si>
    <t>Liam Walters</t>
  </si>
  <si>
    <t>Samuel Valles</t>
  </si>
  <si>
    <t>Jono Esteves</t>
  </si>
  <si>
    <t>David Fiebig</t>
  </si>
  <si>
    <t>Gianni Iacoviello</t>
  </si>
  <si>
    <t>Chaz Ruddick</t>
  </si>
  <si>
    <t>Lysa Phan</t>
  </si>
  <si>
    <t>Wildri Roodt</t>
  </si>
  <si>
    <t>Peter Paul</t>
  </si>
  <si>
    <t>Lara Arvier</t>
  </si>
  <si>
    <t>Ben Bailey</t>
  </si>
  <si>
    <t>Dennis Mahomoc</t>
  </si>
  <si>
    <t>Yi Chang</t>
  </si>
  <si>
    <t>WIll Fleenor</t>
  </si>
  <si>
    <t>Chris Quaite</t>
  </si>
  <si>
    <t>Bogdan Pamfilie</t>
  </si>
  <si>
    <t>Richard Langford</t>
  </si>
  <si>
    <t>Chris Crawshay</t>
  </si>
  <si>
    <t>Jeff Mulholland</t>
  </si>
  <si>
    <t>Chuck Thompson</t>
  </si>
  <si>
    <t>Sean Ford</t>
  </si>
  <si>
    <t>Amrish Bhugoo</t>
  </si>
  <si>
    <t>Troy Stallings</t>
  </si>
  <si>
    <t>Carlos Arpal</t>
  </si>
  <si>
    <t>John Watler</t>
  </si>
  <si>
    <t>Zane Kuttner</t>
  </si>
  <si>
    <t>Kevin Goodwin</t>
  </si>
  <si>
    <t>Heidi Sordinelli</t>
  </si>
  <si>
    <t>Ali Mills</t>
  </si>
  <si>
    <t>Daniel Cimring</t>
  </si>
  <si>
    <t>Zsolt Tolnai</t>
  </si>
  <si>
    <t>Adam Dolan</t>
  </si>
  <si>
    <t>Howard</t>
  </si>
  <si>
    <t>Justin Miller</t>
  </si>
  <si>
    <t>Giles Hobday</t>
  </si>
  <si>
    <t>Ffion Fletcher</t>
  </si>
  <si>
    <t>Alex Benson</t>
  </si>
  <si>
    <t>Carlos Franky</t>
  </si>
  <si>
    <t>Harry Fenn</t>
  </si>
  <si>
    <t>Stefan Meyer</t>
  </si>
  <si>
    <t>Darryl Hather</t>
  </si>
  <si>
    <t>Oliver Tonge</t>
  </si>
  <si>
    <t>Christian Begg</t>
  </si>
  <si>
    <t>Jim Conway</t>
  </si>
  <si>
    <t>Uli Payne</t>
  </si>
  <si>
    <t>Kim Corallo</t>
  </si>
  <si>
    <t>Matthew Arvier</t>
  </si>
  <si>
    <t>Anita Warhurst</t>
  </si>
  <si>
    <t>Glenn Halili</t>
  </si>
  <si>
    <t>Dean Watson</t>
  </si>
  <si>
    <t>Gary Clarke</t>
  </si>
  <si>
    <t>Scott Dean</t>
  </si>
  <si>
    <t>Rick Riyat</t>
  </si>
  <si>
    <t>Fabio Sordinelli</t>
  </si>
  <si>
    <t>Kevin Marion</t>
  </si>
  <si>
    <t>Chloe Aiwohi</t>
  </si>
  <si>
    <t>Eliav Kling</t>
  </si>
  <si>
    <t>Doug Steele</t>
  </si>
  <si>
    <t>Chris Bailey</t>
  </si>
  <si>
    <t>Dexter Herbst</t>
  </si>
  <si>
    <t>Hermes Cuello</t>
  </si>
  <si>
    <t>Jose Simoes</t>
  </si>
  <si>
    <t>Simon Amos</t>
  </si>
  <si>
    <t>Carol Kranker</t>
  </si>
  <si>
    <t>Phill Thompson</t>
  </si>
  <si>
    <t>Jernej Zavadlav</t>
  </si>
  <si>
    <t>Colin Busse</t>
  </si>
  <si>
    <t>Simon Fenn</t>
  </si>
  <si>
    <t>Alex Wood</t>
  </si>
  <si>
    <t>Andreea Green</t>
  </si>
  <si>
    <t>Taraq Bashir</t>
  </si>
  <si>
    <t>Walter van der Merwe</t>
  </si>
  <si>
    <t>Walker Romanica</t>
  </si>
  <si>
    <t>Ridi Duka</t>
  </si>
  <si>
    <t>Phil Carden</t>
  </si>
  <si>
    <t>Brad Koeppen</t>
  </si>
  <si>
    <t>Viktar Tsvirko</t>
  </si>
  <si>
    <t>Yuko Dolan</t>
  </si>
  <si>
    <t>Bruno Attianese</t>
  </si>
  <si>
    <t>Paul Manning</t>
  </si>
  <si>
    <t>Adrian Grigoriu</t>
  </si>
  <si>
    <t>Christopher Perez</t>
  </si>
  <si>
    <t>Jennie Royert</t>
  </si>
  <si>
    <t>Ravi</t>
  </si>
  <si>
    <t>Garron Palmer</t>
  </si>
  <si>
    <t>Danielle Watler</t>
  </si>
  <si>
    <t>Justin Pierre</t>
  </si>
  <si>
    <t>Justin Derrick</t>
  </si>
  <si>
    <t>Evan Stitt</t>
  </si>
  <si>
    <t>Karen Hart</t>
  </si>
  <si>
    <t>Ted McCarron</t>
  </si>
  <si>
    <t>Aaron Pollard</t>
  </si>
  <si>
    <t>Geoffrey Butler</t>
  </si>
  <si>
    <t>Tommy Ebanks</t>
  </si>
  <si>
    <t>Marcin Czarnocki</t>
  </si>
  <si>
    <t>Chris Narborough</t>
  </si>
  <si>
    <t>Clare Miller</t>
  </si>
  <si>
    <t>Joe Logan</t>
  </si>
  <si>
    <t>Kristen Watler-Miller</t>
  </si>
  <si>
    <t>Vaughan Smith</t>
  </si>
  <si>
    <t>Charles Habuyo</t>
  </si>
  <si>
    <t>Vong Lee Baw</t>
  </si>
  <si>
    <t>Dennis Verhoeven</t>
  </si>
  <si>
    <t>Michael Hurn</t>
  </si>
  <si>
    <t>Steve Scarbrough</t>
  </si>
  <si>
    <t>Nathan Smith</t>
  </si>
  <si>
    <t>Mauricio Quezon</t>
  </si>
  <si>
    <t>Melissa Jenkinson</t>
  </si>
  <si>
    <t>Graeme Tilly</t>
  </si>
  <si>
    <t>Trevor Murgio</t>
  </si>
  <si>
    <t>George Dickenson</t>
  </si>
  <si>
    <t>Mads Pilholm</t>
  </si>
  <si>
    <t>David Galvez</t>
  </si>
  <si>
    <t>Craig Kemp</t>
  </si>
  <si>
    <t>Jules Fenn</t>
  </si>
  <si>
    <t>John Mitchell</t>
  </si>
  <si>
    <t>Dustin Coleman</t>
  </si>
  <si>
    <t>Suzanne St Thomas</t>
  </si>
  <si>
    <t>Wanda Viscount</t>
  </si>
  <si>
    <t>Mick Farrow</t>
  </si>
  <si>
    <t>Chanel Ammon</t>
  </si>
  <si>
    <t>Adam Bale</t>
  </si>
  <si>
    <t>Michael Scott</t>
  </si>
  <si>
    <t>William Collins</t>
  </si>
  <si>
    <t>Alexander Kenny</t>
  </si>
  <si>
    <t>Ron Godsill</t>
  </si>
  <si>
    <t>David Acutt</t>
  </si>
  <si>
    <t>Sean Lloyd Hickey</t>
  </si>
  <si>
    <t>Kyle Hucker</t>
  </si>
  <si>
    <t>Kirt Kranker</t>
  </si>
  <si>
    <t>Alexander Wurm</t>
  </si>
  <si>
    <t>Dave Drever</t>
  </si>
  <si>
    <t>Simon Stewart-Jones</t>
  </si>
  <si>
    <t>Simon Garnett</t>
  </si>
  <si>
    <t>Wendy Lisle</t>
  </si>
  <si>
    <t>Bob Joshi</t>
  </si>
  <si>
    <t>Monette De Luna</t>
  </si>
  <si>
    <t>Alice Brown</t>
  </si>
  <si>
    <t>Aaron Perera</t>
  </si>
  <si>
    <t>Angela Garfinkel</t>
  </si>
  <si>
    <t>Hayley Drever</t>
  </si>
  <si>
    <t>David Egglishaw</t>
  </si>
  <si>
    <t>Lovely Ibanez</t>
  </si>
  <si>
    <t>Rob Lewis</t>
  </si>
  <si>
    <t>Paul Njoka</t>
  </si>
  <si>
    <t>Bharti Ravi</t>
  </si>
  <si>
    <t>Gianpierre Buongiorno</t>
  </si>
  <si>
    <t>Tyler Welton</t>
  </si>
  <si>
    <t>Duane Earle</t>
  </si>
  <si>
    <t>Jason Giddings</t>
  </si>
  <si>
    <t>Celle Gomez</t>
  </si>
  <si>
    <t>Sarah Fletcher</t>
  </si>
  <si>
    <t>Frida Shubert</t>
  </si>
  <si>
    <t>Jed Ancheta</t>
  </si>
  <si>
    <t>Devon Clark</t>
  </si>
  <si>
    <t>Ben Hobbs</t>
  </si>
  <si>
    <t>Twyla Southwick</t>
  </si>
  <si>
    <t>Raffaele Dell Oglio</t>
  </si>
  <si>
    <t>Matthew Rush</t>
  </si>
  <si>
    <t>Liza Hobbs</t>
  </si>
  <si>
    <t>Calissa Ylagan</t>
  </si>
  <si>
    <t>Jennifer Godsill</t>
  </si>
  <si>
    <t>Ronela Pagayona</t>
  </si>
  <si>
    <t>Tony Walton</t>
  </si>
  <si>
    <t>Carmella Ylagan</t>
  </si>
  <si>
    <t>Jan Perez</t>
  </si>
  <si>
    <t>Laren Gillespie</t>
  </si>
  <si>
    <t>Irma Umali</t>
  </si>
  <si>
    <t>Jeremy Daquioag</t>
  </si>
  <si>
    <t>Maria Testori</t>
  </si>
  <si>
    <t>Mary Jane Liclican</t>
  </si>
  <si>
    <t>Chantelle Dickinson</t>
  </si>
  <si>
    <t>Carmen Damaso-Doucette</t>
  </si>
  <si>
    <t>Julie Leslie</t>
  </si>
  <si>
    <t>Susan Mawhinney</t>
  </si>
  <si>
    <t>Judy Canseco</t>
  </si>
  <si>
    <t>Sean Glidden</t>
  </si>
  <si>
    <t>TJ Hucker</t>
  </si>
  <si>
    <t>Belinda Taylor</t>
  </si>
  <si>
    <t>Basil Scott</t>
  </si>
  <si>
    <t>Tammie Scarbrough</t>
  </si>
  <si>
    <t>Yasmin Mitchell</t>
  </si>
  <si>
    <t>Bill Spencer</t>
  </si>
  <si>
    <t>Anthony Walton</t>
  </si>
  <si>
    <t>Katie Brock</t>
  </si>
  <si>
    <t>Renzo Escalante</t>
  </si>
  <si>
    <t>Jessica Dean</t>
  </si>
  <si>
    <t>Lauren Law</t>
  </si>
  <si>
    <t>Eden Jordan</t>
  </si>
  <si>
    <t>Andreea Sleahtenea</t>
  </si>
  <si>
    <t>Bronwyn Orford</t>
  </si>
  <si>
    <t>Gordon Procter</t>
  </si>
  <si>
    <t>Chip Ogilvie</t>
  </si>
  <si>
    <t>Genine Sam</t>
  </si>
  <si>
    <t>Roberta Testori</t>
  </si>
  <si>
    <t>Charlotte Crocker</t>
  </si>
  <si>
    <t>Nico Lazau</t>
  </si>
  <si>
    <t>Erica Menendez</t>
  </si>
  <si>
    <t>LeeAnn Janissen</t>
  </si>
  <si>
    <t>Vanessa Murgio</t>
  </si>
  <si>
    <t>Oana Barbulescu</t>
  </si>
  <si>
    <t>Bella Arscott</t>
  </si>
  <si>
    <t>Avril Brophy</t>
  </si>
  <si>
    <t>Ranking</t>
  </si>
  <si>
    <t>Position</t>
  </si>
  <si>
    <t>Player</t>
  </si>
  <si>
    <t>Kristin Brodie</t>
  </si>
  <si>
    <t>Michelle Veldhoven</t>
  </si>
  <si>
    <t>Tete Royert</t>
  </si>
  <si>
    <t>Zachary Hayward</t>
  </si>
  <si>
    <t>lynn maguire</t>
  </si>
  <si>
    <t>Adhir Misra</t>
  </si>
  <si>
    <t>Calvin Lee</t>
  </si>
  <si>
    <t>Payten Wight</t>
  </si>
  <si>
    <t>Andrea Ho</t>
  </si>
  <si>
    <t>Rank</t>
  </si>
  <si>
    <t>Rating</t>
  </si>
  <si>
    <t>Gary Pankhurst</t>
  </si>
  <si>
    <t>Kirsten Anthony</t>
  </si>
  <si>
    <t>Aleta Botha</t>
  </si>
  <si>
    <t>Katie Atwood</t>
  </si>
  <si>
    <t>Maureen Sheehan</t>
  </si>
  <si>
    <t>Michael Kaufman</t>
  </si>
  <si>
    <t>Neil Fernandez</t>
  </si>
  <si>
    <t>Jason Buckle</t>
  </si>
  <si>
    <t>Scott Thompson</t>
  </si>
  <si>
    <t>Simon Butler</t>
  </si>
  <si>
    <t>Sam Hall</t>
  </si>
  <si>
    <t>Jim Giuliano</t>
  </si>
  <si>
    <t>Sandy Perkins</t>
  </si>
  <si>
    <t>Beth Giuliano</t>
  </si>
  <si>
    <t>Abbie Pritchard</t>
  </si>
  <si>
    <t>Erika Leggat</t>
  </si>
  <si>
    <t>Kevin Nounev</t>
  </si>
  <si>
    <t>Nicholas Yale</t>
  </si>
  <si>
    <t>Aleksandra Andzic</t>
  </si>
  <si>
    <t>Richard Forrest</t>
  </si>
  <si>
    <t>Jaime Domingues</t>
  </si>
  <si>
    <t>Cally Daly</t>
  </si>
  <si>
    <t>Darragh Gillen</t>
  </si>
  <si>
    <t>Adrian Cochrane</t>
  </si>
  <si>
    <t>Phil Nabeel</t>
  </si>
  <si>
    <t>Darrell Hines</t>
  </si>
  <si>
    <t>Nicole Ramroop</t>
  </si>
  <si>
    <t>Jono Firstbrook</t>
  </si>
  <si>
    <t>Caston Powery</t>
  </si>
  <si>
    <t>Mike Beckemeyer</t>
  </si>
  <si>
    <t>Bill Perkins</t>
  </si>
  <si>
    <t>Andrea Janovics</t>
  </si>
  <si>
    <t>Aric Holtz</t>
  </si>
  <si>
    <t>Jaclyn Pascoe</t>
  </si>
  <si>
    <t>Jennifer Thompson</t>
  </si>
  <si>
    <t>Peter Munn</t>
  </si>
  <si>
    <t>Sean ODonovan</t>
  </si>
  <si>
    <t>Paula Cribb</t>
  </si>
  <si>
    <t>David Bowman</t>
  </si>
  <si>
    <t>Michaela Morse</t>
  </si>
  <si>
    <t>David Allott</t>
  </si>
  <si>
    <t>Jason Thomas</t>
  </si>
  <si>
    <t>Hilliary Benjamin</t>
  </si>
  <si>
    <t>Robert Benjamin</t>
  </si>
  <si>
    <t>Jordan LaRue</t>
  </si>
  <si>
    <t>Yuri Haywood</t>
  </si>
  <si>
    <t>Jason Ebanks</t>
  </si>
  <si>
    <t>Scott Harrison</t>
  </si>
  <si>
    <t>Ria Aparecio</t>
  </si>
  <si>
    <t>Rogie Melendres</t>
  </si>
  <si>
    <t>Mark Estopin</t>
  </si>
  <si>
    <t>Maureen De Guzman</t>
  </si>
  <si>
    <t>Noah Rotman</t>
  </si>
  <si>
    <t>Sarah May (Wium)</t>
  </si>
  <si>
    <t>Vlad Shubert</t>
  </si>
  <si>
    <t>Michael Song</t>
  </si>
  <si>
    <t>Dong Osuyos</t>
  </si>
  <si>
    <t>Sue Mineiro</t>
  </si>
  <si>
    <t>Amy Hubble</t>
  </si>
  <si>
    <t>Erica Newman</t>
  </si>
  <si>
    <t>Nienke van den Berg</t>
  </si>
  <si>
    <t>Shane Mascal</t>
  </si>
  <si>
    <t>Milo Dack</t>
  </si>
  <si>
    <t>Demar Johnson</t>
  </si>
  <si>
    <t>Ren Hann Cheong</t>
  </si>
  <si>
    <t>Angel Rutty</t>
  </si>
  <si>
    <t>Ashley Drum</t>
  </si>
  <si>
    <t>Connie Drum</t>
  </si>
  <si>
    <t>Gannon Rutty</t>
  </si>
  <si>
    <t>Gary Rutty</t>
  </si>
  <si>
    <t>Art Furman</t>
  </si>
  <si>
    <t>Ric Hurlstone</t>
  </si>
  <si>
    <t>Sally Click</t>
  </si>
  <si>
    <t>Javid Ali</t>
  </si>
  <si>
    <t>Marc Thompson</t>
  </si>
  <si>
    <t>Ross McInerney</t>
  </si>
  <si>
    <t>Jake (Squash) Kelly</t>
  </si>
  <si>
    <t>Robert Smith</t>
  </si>
  <si>
    <t>Tom King</t>
  </si>
  <si>
    <t>Jessica Murrie</t>
  </si>
  <si>
    <t>Matthew Haymes</t>
  </si>
  <si>
    <t>Allison Smith</t>
  </si>
  <si>
    <t>Daniel Maverick</t>
  </si>
  <si>
    <t>Janine Webber</t>
  </si>
  <si>
    <t>Claire Roscoe</t>
  </si>
  <si>
    <t>Robert Carlin</t>
  </si>
  <si>
    <t>Doug Fujii</t>
  </si>
  <si>
    <t>Martin Thomas</t>
  </si>
  <si>
    <t>Joan Murray</t>
  </si>
  <si>
    <t>Date</t>
  </si>
  <si>
    <t>Name</t>
  </si>
  <si>
    <t>Events</t>
  </si>
  <si>
    <t>Idan Kfir Roberts</t>
  </si>
  <si>
    <t>Ian Colquhoun</t>
  </si>
  <si>
    <t>Luann McCorkle</t>
  </si>
  <si>
    <t>Travis McCorkle</t>
  </si>
  <si>
    <t>scott baker</t>
  </si>
  <si>
    <t>Ryan Baker</t>
  </si>
  <si>
    <t>Steve Papciak</t>
  </si>
  <si>
    <t>Chris Thornton</t>
  </si>
  <si>
    <t>Julie Graham</t>
  </si>
  <si>
    <t>Dean Hoegger</t>
  </si>
  <si>
    <t>Christopher Ebanks</t>
  </si>
  <si>
    <t>Bryan Rameshwar</t>
  </si>
  <si>
    <t>Jeff Buchhalter</t>
  </si>
  <si>
    <t>Exequiel Domingo</t>
  </si>
  <si>
    <t>Anne Warhurst</t>
  </si>
  <si>
    <t>Nimesh Jani</t>
  </si>
  <si>
    <t>Samantha Hobday</t>
  </si>
  <si>
    <t>Kylee Graham</t>
  </si>
  <si>
    <t>Angelo Giuzio</t>
  </si>
  <si>
    <t>Bradley Richmond</t>
  </si>
  <si>
    <t>Peter Reilly</t>
  </si>
  <si>
    <t>Adam McSharry-Downie</t>
  </si>
  <si>
    <t>Danny Wrethman</t>
  </si>
  <si>
    <t>Scott Wallace</t>
  </si>
  <si>
    <t>Jaryd Moore</t>
  </si>
  <si>
    <t>Robyn Oliveri</t>
  </si>
  <si>
    <t>Neil Jindal</t>
  </si>
  <si>
    <t>Maxwell Johnson</t>
  </si>
  <si>
    <t>Jason Butcher</t>
  </si>
  <si>
    <t>Lee Davis</t>
  </si>
  <si>
    <t>Liane Davidson</t>
  </si>
  <si>
    <t>Joni Winton</t>
  </si>
  <si>
    <t>MARC WILLIAMS</t>
  </si>
  <si>
    <t>Cory Thackeray</t>
  </si>
  <si>
    <t>Jackson Dean</t>
  </si>
  <si>
    <t>Ronald Brown</t>
  </si>
  <si>
    <t>Andrew Mclaughlin</t>
  </si>
  <si>
    <t>Alyson Reilly</t>
  </si>
  <si>
    <t>Lesley Reilly</t>
  </si>
  <si>
    <t>Romalyn Mahomoc</t>
  </si>
  <si>
    <t>Christian Andrews</t>
  </si>
  <si>
    <t>Karen Davis</t>
  </si>
  <si>
    <t>Viktoria Acsai</t>
  </si>
  <si>
    <t>Jhon Mora</t>
  </si>
  <si>
    <t>Ian De Villiers</t>
  </si>
  <si>
    <t>Stephen Peel</t>
  </si>
  <si>
    <t>Dylan Lammers</t>
  </si>
  <si>
    <t>Alex Frazer</t>
  </si>
  <si>
    <t>Uli Hoppe</t>
  </si>
  <si>
    <t>Nick Wight</t>
  </si>
  <si>
    <t>Bryse Howarth</t>
  </si>
  <si>
    <t>Ben Bulot</t>
  </si>
  <si>
    <t>Zac Jardine</t>
  </si>
  <si>
    <t>Lavie Hobson</t>
  </si>
  <si>
    <t>Nancy Smith</t>
  </si>
  <si>
    <t>Alex Rousskov</t>
  </si>
  <si>
    <t>Mickey Herbert</t>
  </si>
  <si>
    <t>Andy Graham</t>
  </si>
  <si>
    <t>Brian O'Reilly</t>
  </si>
  <si>
    <t>Jack Leeland</t>
  </si>
  <si>
    <t>Matthew Barnett</t>
  </si>
  <si>
    <t>James Mcginn</t>
  </si>
  <si>
    <t>Sherri Bulot</t>
  </si>
  <si>
    <t>Tammy Graham</t>
  </si>
  <si>
    <t>Greg Ebanks</t>
  </si>
  <si>
    <t>Jarno Overkleeft</t>
  </si>
  <si>
    <t>Alex McLaughlin</t>
  </si>
  <si>
    <t>Tiago Sant'Ana</t>
  </si>
  <si>
    <t>Leah Smith</t>
  </si>
  <si>
    <t>Meghan O'Doherty</t>
  </si>
  <si>
    <t>Pete Fabbri</t>
  </si>
  <si>
    <t>Robie Moctezuma</t>
  </si>
  <si>
    <t>Glen Magee</t>
  </si>
  <si>
    <t>Patrick Mulrenan</t>
  </si>
  <si>
    <t>Danny Cleverley</t>
  </si>
  <si>
    <t>Ryan McNeal</t>
  </si>
  <si>
    <t>Paula Raneri</t>
  </si>
  <si>
    <t>Cara Leeland</t>
  </si>
  <si>
    <t>Jane Swan</t>
  </si>
  <si>
    <t>Geri Warren</t>
  </si>
  <si>
    <t>Bill Fleury</t>
  </si>
  <si>
    <t>David Swan</t>
  </si>
  <si>
    <t>Luke Ridge</t>
  </si>
  <si>
    <t>Kerry Baker</t>
  </si>
  <si>
    <t>Sean Foley</t>
  </si>
  <si>
    <t>Bryan Mineo</t>
  </si>
  <si>
    <t>Ellie Taylor</t>
  </si>
  <si>
    <t>Ali Evans</t>
  </si>
  <si>
    <t>Francoise Minzett</t>
  </si>
  <si>
    <t>James Gilbert</t>
  </si>
  <si>
    <t>Ron Gray</t>
  </si>
  <si>
    <t>Sean Durfy</t>
  </si>
  <si>
    <t>Ben Tecmire</t>
  </si>
  <si>
    <t>Stephen Cartner</t>
  </si>
  <si>
    <t>Chris Smith</t>
  </si>
  <si>
    <t>Susan Gray</t>
  </si>
  <si>
    <t>Jeremiah Redstone</t>
  </si>
  <si>
    <t>Becky Stachowiak</t>
  </si>
  <si>
    <t>Kim Healey</t>
  </si>
  <si>
    <t>William Healey</t>
  </si>
  <si>
    <t>Zachary Cohn</t>
  </si>
  <si>
    <t>Chuck Stachowiak</t>
  </si>
  <si>
    <t>Henri Ching</t>
  </si>
  <si>
    <t>Jorge Pelaez</t>
  </si>
  <si>
    <t>Rory Andrews</t>
  </si>
  <si>
    <t>Jon-Luke Marais</t>
  </si>
  <si>
    <t>Carl Gosselin</t>
  </si>
  <si>
    <t>Prathna Bagwandeen</t>
  </si>
  <si>
    <t>Pierre Jacobs</t>
  </si>
  <si>
    <t>Mark Botha</t>
  </si>
  <si>
    <t>Nicholas Adendorff</t>
  </si>
  <si>
    <t>Alex McCallister</t>
  </si>
  <si>
    <t>Greg Wallis</t>
  </si>
  <si>
    <t>John Fawkes</t>
  </si>
  <si>
    <t>Caleb Sunkur</t>
  </si>
  <si>
    <t>Noemi Sperandio</t>
  </si>
  <si>
    <t>Gary Rosen</t>
  </si>
  <si>
    <t>Robert O'Dolan</t>
  </si>
  <si>
    <t>Mark Kenny</t>
  </si>
  <si>
    <t>David Blythe</t>
  </si>
  <si>
    <t>Sagar Ghelani</t>
  </si>
  <si>
    <t>Alan Quigley</t>
  </si>
  <si>
    <t>Flip du Plessis</t>
  </si>
  <si>
    <t>Mary Gessler</t>
  </si>
  <si>
    <t>Eric Gessler</t>
  </si>
  <si>
    <t>Robert Friedmann</t>
  </si>
  <si>
    <t>Joseph Friedmann</t>
  </si>
  <si>
    <t>Maysa Nahime</t>
  </si>
  <si>
    <t>Penelope Turner</t>
  </si>
  <si>
    <t>Kate Hewitson</t>
  </si>
  <si>
    <t>Emma Draffin</t>
  </si>
  <si>
    <t>Matt Baer</t>
  </si>
  <si>
    <t>Carol Rosen</t>
  </si>
  <si>
    <t>Todd Hazelwood</t>
  </si>
  <si>
    <t>Shakera Mitto</t>
  </si>
  <si>
    <t>Christine Tessereau</t>
  </si>
  <si>
    <t>Francisco Castillo</t>
  </si>
  <si>
    <t>Julie Couture</t>
  </si>
  <si>
    <t>Lucas Tessereau</t>
  </si>
  <si>
    <t>Mariana Mihaila</t>
  </si>
  <si>
    <t>Phil Tessereau</t>
  </si>
  <si>
    <t>Sebastian Murillo</t>
  </si>
  <si>
    <t>Jamison Olson</t>
  </si>
  <si>
    <t>Ahmaad Graham</t>
  </si>
  <si>
    <t>Randy Rudeen</t>
  </si>
  <si>
    <t>Gregory Davis Quintero</t>
  </si>
  <si>
    <t>Kayla Beck</t>
  </si>
  <si>
    <t>Matt MacPherson</t>
  </si>
  <si>
    <t>Big Show</t>
  </si>
  <si>
    <t>Johann Liam Conradie</t>
  </si>
  <si>
    <t>Neil Randell</t>
  </si>
  <si>
    <t>Jesse Walker</t>
  </si>
  <si>
    <t>Maya Smith</t>
  </si>
  <si>
    <t>Philip Aubry</t>
  </si>
  <si>
    <t>Marc Williams</t>
  </si>
  <si>
    <t>Ross Pretorius</t>
  </si>
  <si>
    <t>Ed Rotchell</t>
  </si>
  <si>
    <t>Derek Scott</t>
  </si>
  <si>
    <t>Jon Brosnihan</t>
  </si>
  <si>
    <t>Laura Carter</t>
  </si>
  <si>
    <t>Stu Taylor</t>
  </si>
  <si>
    <t>Candela Maffoni</t>
  </si>
  <si>
    <t>Claire Guilbert</t>
  </si>
  <si>
    <t>Lissette Benitez</t>
  </si>
  <si>
    <t>Giavano Bowe</t>
  </si>
  <si>
    <t>Ainhoa Diaz</t>
  </si>
  <si>
    <t>Luciana Diegues</t>
  </si>
  <si>
    <t>Mishael Julius</t>
  </si>
  <si>
    <t>Jake Vader</t>
  </si>
  <si>
    <t>Dianna Du Preez</t>
  </si>
  <si>
    <t>Gabi Nelson</t>
  </si>
  <si>
    <t>Juliana Braz</t>
  </si>
  <si>
    <t>Kenrick Solomo</t>
  </si>
  <si>
    <t>Bruce Jalim</t>
  </si>
  <si>
    <t>Lisbet Ebanks</t>
  </si>
  <si>
    <t>Bogdan Nikolic</t>
  </si>
  <si>
    <t>David Verhoeven</t>
  </si>
  <si>
    <t>Aldo Bertagna</t>
  </si>
  <si>
    <t>Bradley Wammes</t>
  </si>
  <si>
    <t>Ethan Brosnihan</t>
  </si>
  <si>
    <t>Melody Coni</t>
  </si>
  <si>
    <t>Vanessa Cirulli</t>
  </si>
  <si>
    <t>Brittany Hasselbring</t>
  </si>
  <si>
    <t>Samuel O'Garro</t>
  </si>
  <si>
    <t>Tyrell Cuffy</t>
  </si>
  <si>
    <t>Andrew Carter</t>
  </si>
  <si>
    <t>Kadin Brake</t>
  </si>
  <si>
    <t>Tessa Kingsford</t>
  </si>
  <si>
    <t>Charles Allen</t>
  </si>
  <si>
    <t>Alistair Wade</t>
  </si>
  <si>
    <t>Nykemah Kuylen-Perera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</si>
</sst>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221F1F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8F8F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164" fontId="0" fillId="0" borderId="0" xfId="0" applyNumberFormat="1"/>
    <xf numFmtId="0" fontId="1" fillId="0" borderId="0" xfId="0" applyFont="1"/>
    <xf numFmtId="164" fontId="1" fillId="0" borderId="0" xfId="0" applyNumberFormat="1" applyFont="1"/>
    <xf numFmtId="1" fontId="1" fillId="0" borderId="0" xfId="0" applyNumberFormat="1" applyFont="1"/>
    <xf numFmtId="1" fontId="0" fillId="0" borderId="0" xfId="0" applyNumberFormat="1"/>
    <xf numFmtId="1" fontId="0" fillId="2" borderId="0" xfId="0" applyNumberFormat="1" applyFill="1"/>
    <xf numFmtId="164" fontId="0" fillId="2" borderId="0" xfId="0" applyNumberFormat="1" applyFill="1"/>
    <xf numFmtId="1" fontId="0" fillId="3" borderId="0" xfId="0" applyNumberFormat="1" applyFill="1"/>
    <xf numFmtId="164" fontId="0" fillId="3" borderId="0" xfId="0" applyNumberFormat="1" applyFill="1"/>
    <xf numFmtId="0" fontId="0" fillId="5" borderId="0" xfId="0" applyFill="1"/>
    <xf numFmtId="0" fontId="0" fillId="6" borderId="0" xfId="0" applyFill="1"/>
    <xf numFmtId="164" fontId="0" fillId="4" borderId="0" xfId="0" applyNumberFormat="1" applyFill="1"/>
    <xf numFmtId="164" fontId="0" fillId="5" borderId="0" xfId="0" applyNumberFormat="1" applyFill="1"/>
    <xf numFmtId="164" fontId="0" fillId="6" borderId="0" xfId="0" applyNumberFormat="1" applyFill="1"/>
    <xf numFmtId="1" fontId="0" fillId="4" borderId="0" xfId="0" applyNumberFormat="1" applyFill="1"/>
    <xf numFmtId="1" fontId="0" fillId="5" borderId="0" xfId="0" applyNumberFormat="1" applyFill="1"/>
    <xf numFmtId="1" fontId="0" fillId="6" borderId="0" xfId="0" applyNumberFormat="1" applyFill="1"/>
    <xf numFmtId="14" fontId="0" fillId="0" borderId="0" xfId="0" applyNumberFormat="1"/>
    <xf numFmtId="0" fontId="2" fillId="7" borderId="0" xfId="0" applyFont="1" applyFill="1" applyAlignment="1">
      <alignment horizontal="center" vertical="top" wrapText="1"/>
    </xf>
    <xf numFmtId="14" fontId="2" fillId="7" borderId="0" xfId="0" applyNumberFormat="1" applyFont="1" applyFill="1" applyAlignment="1">
      <alignment horizontal="center" vertical="top" wrapText="1"/>
    </xf>
    <xf numFmtId="165" fontId="1" fillId="0" borderId="0" xfId="0" applyNumberFormat="1" applyFont="1" applyAlignment="1">
      <alignment horizontal="right"/>
    </xf>
    <xf numFmtId="0" fontId="1" fillId="0" borderId="0" xfId="0" applyFont="1" applyAlignment="1">
      <alignment horizontal="right"/>
    </xf>
    <xf numFmtId="165" fontId="0" fillId="0" borderId="0" xfId="0" applyNumberFormat="1" applyAlignment="1">
      <alignment horizontal="right"/>
    </xf>
    <xf numFmtId="1" fontId="0" fillId="0" borderId="0" xfId="0" applyNumberFormat="1" applyAlignment="1">
      <alignment horizontal="right"/>
    </xf>
    <xf numFmtId="165" fontId="2" fillId="7" borderId="0" xfId="0" applyNumberFormat="1" applyFont="1" applyFill="1" applyAlignment="1">
      <alignment horizontal="right" vertical="top" wrapText="1"/>
    </xf>
    <xf numFmtId="0" fontId="2" fillId="7" borderId="0" xfId="0" applyFont="1" applyFill="1" applyAlignment="1">
      <alignment horizontal="right" vertical="top" wrapText="1"/>
    </xf>
    <xf numFmtId="0" fontId="0" fillId="0" borderId="0" xfId="0" applyAlignment="1">
      <alignment horizontal="right"/>
    </xf>
    <xf numFmtId="165" fontId="0" fillId="4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6574D6-8C49-4286-9E40-ACB4C6DCF14D}">
  <sheetPr codeName="Sheet5"/>
  <dimension ref="A1:D10"/>
  <sheetViews>
    <sheetView workbookViewId="0">
      <pane ySplit="1" topLeftCell="A2" activePane="bottomLeft" state="frozen"/>
      <selection pane="bottomLeft" sqref="A1:XFD1"/>
    </sheetView>
  </sheetViews>
  <sheetFormatPr defaultColWidth="9.140625" defaultRowHeight="15" x14ac:dyDescent="0.25"/>
  <cols>
    <col min="1" max="1" width="8.28515625" style="5" bestFit="1" customWidth="1"/>
    <col min="2" max="2" width="17.42578125" bestFit="1" customWidth="1"/>
    <col min="3" max="3" width="6.5703125" style="1" bestFit="1" customWidth="1"/>
    <col min="4" max="4" width="5.28515625" style="5" bestFit="1" customWidth="1"/>
  </cols>
  <sheetData>
    <row r="1" spans="1:4" s="2" customFormat="1" x14ac:dyDescent="0.25">
      <c r="A1" s="4" t="s">
        <v>245</v>
      </c>
      <c r="B1" s="2" t="s">
        <v>246</v>
      </c>
      <c r="C1" s="3" t="s">
        <v>257</v>
      </c>
      <c r="D1" s="4" t="s">
        <v>256</v>
      </c>
    </row>
    <row r="2" spans="1:4" x14ac:dyDescent="0.25">
      <c r="A2" s="5">
        <v>7</v>
      </c>
      <c r="B2" t="s">
        <v>300</v>
      </c>
      <c r="C2" s="1">
        <f t="shared" ref="C2:C10" si="0">_xlfn.IFNA(VLOOKUP(B2,DOUBLESRANKING,2,FALSE), 0)</f>
        <v>2.6720000000000002</v>
      </c>
      <c r="D2" s="5">
        <f t="shared" ref="D2:D10" si="1">_xlfn.IFNA(VLOOKUP(B2,DOUBLESRANKING,4,FALSE), 0)</f>
        <v>425</v>
      </c>
    </row>
    <row r="3" spans="1:4" x14ac:dyDescent="0.25">
      <c r="A3" s="5">
        <v>8</v>
      </c>
      <c r="B3" t="s">
        <v>301</v>
      </c>
      <c r="C3" s="1">
        <f t="shared" si="0"/>
        <v>3.1269999999999998</v>
      </c>
      <c r="D3" s="5">
        <f t="shared" si="1"/>
        <v>215</v>
      </c>
    </row>
    <row r="4" spans="1:4" x14ac:dyDescent="0.25">
      <c r="A4" s="5">
        <v>5</v>
      </c>
      <c r="B4" t="s">
        <v>60</v>
      </c>
      <c r="C4" s="1">
        <f t="shared" si="0"/>
        <v>3.5649999999999999</v>
      </c>
      <c r="D4" s="5">
        <f t="shared" si="1"/>
        <v>100</v>
      </c>
    </row>
    <row r="5" spans="1:4" x14ac:dyDescent="0.25">
      <c r="A5" s="5">
        <v>3</v>
      </c>
      <c r="B5" t="s">
        <v>64</v>
      </c>
      <c r="C5" s="1">
        <f t="shared" si="0"/>
        <v>3.5579999999999998</v>
      </c>
      <c r="D5" s="5">
        <f t="shared" si="1"/>
        <v>101</v>
      </c>
    </row>
    <row r="6" spans="1:4" x14ac:dyDescent="0.25">
      <c r="A6" s="5">
        <v>6</v>
      </c>
      <c r="B6" t="s">
        <v>101</v>
      </c>
      <c r="C6" s="1">
        <f t="shared" si="0"/>
        <v>3.2290000000000001</v>
      </c>
      <c r="D6" s="5">
        <f t="shared" si="1"/>
        <v>183</v>
      </c>
    </row>
    <row r="7" spans="1:4" x14ac:dyDescent="0.25">
      <c r="A7" s="5">
        <v>4</v>
      </c>
      <c r="B7" t="s">
        <v>96</v>
      </c>
      <c r="C7" s="1">
        <f t="shared" si="0"/>
        <v>3.2370000000000001</v>
      </c>
      <c r="D7" s="5">
        <f t="shared" si="1"/>
        <v>179</v>
      </c>
    </row>
    <row r="8" spans="1:4" x14ac:dyDescent="0.25">
      <c r="A8" s="5">
        <v>1</v>
      </c>
      <c r="B8" t="s">
        <v>276</v>
      </c>
      <c r="C8" s="1">
        <f t="shared" si="0"/>
        <v>2.8639999999999999</v>
      </c>
      <c r="D8" s="5">
        <f t="shared" si="1"/>
        <v>322</v>
      </c>
    </row>
    <row r="9" spans="1:4" x14ac:dyDescent="0.25">
      <c r="A9" s="5">
        <v>9</v>
      </c>
      <c r="B9" t="s">
        <v>150</v>
      </c>
      <c r="C9" s="1">
        <f t="shared" si="0"/>
        <v>3.1219999999999999</v>
      </c>
      <c r="D9" s="5">
        <f t="shared" si="1"/>
        <v>217</v>
      </c>
    </row>
    <row r="10" spans="1:4" x14ac:dyDescent="0.25">
      <c r="A10" s="5">
        <v>2</v>
      </c>
      <c r="B10" t="s">
        <v>165</v>
      </c>
      <c r="C10" s="1">
        <f t="shared" si="0"/>
        <v>2.8370000000000002</v>
      </c>
      <c r="D10" s="5">
        <f t="shared" si="1"/>
        <v>331</v>
      </c>
    </row>
  </sheetData>
  <autoFilter ref="A1:D1" xr:uid="{236574D6-8C49-4286-9E40-ACB4C6DCF14D}">
    <sortState xmlns:xlrd2="http://schemas.microsoft.com/office/spreadsheetml/2017/richdata2" ref="A2:D10">
      <sortCondition ref="D1"/>
    </sortState>
  </autoFilter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20DB65-5081-48B9-8A89-A891572EED40}">
  <dimension ref="A1:E12"/>
  <sheetViews>
    <sheetView workbookViewId="0">
      <selection activeCell="G23" sqref="G23"/>
    </sheetView>
  </sheetViews>
  <sheetFormatPr defaultColWidth="9" defaultRowHeight="15" x14ac:dyDescent="0.25"/>
  <cols>
    <col min="1" max="1" width="10.7109375" bestFit="1" customWidth="1"/>
    <col min="2" max="2" width="11.7109375" bestFit="1" customWidth="1"/>
    <col min="3" max="3" width="8.28515625" style="23" bestFit="1" customWidth="1"/>
    <col min="4" max="4" width="11.42578125" style="27" customWidth="1"/>
    <col min="5" max="5" width="8.28515625" style="27" bestFit="1" customWidth="1"/>
  </cols>
  <sheetData>
    <row r="1" spans="1:5" s="2" customFormat="1" x14ac:dyDescent="0.25">
      <c r="A1" s="2" t="s">
        <v>347</v>
      </c>
      <c r="B1" s="2" t="s">
        <v>348</v>
      </c>
      <c r="C1" s="21" t="s">
        <v>257</v>
      </c>
      <c r="D1" s="22" t="s">
        <v>349</v>
      </c>
      <c r="E1" s="22" t="s">
        <v>245</v>
      </c>
    </row>
    <row r="2" spans="1:5" x14ac:dyDescent="0.25">
      <c r="A2" s="18">
        <v>45259</v>
      </c>
      <c r="B2" t="s">
        <v>160</v>
      </c>
      <c r="C2" s="23">
        <v>2.8879999999999999</v>
      </c>
      <c r="D2" s="24">
        <v>15</v>
      </c>
      <c r="E2" s="24">
        <v>239</v>
      </c>
    </row>
    <row r="3" spans="1:5" x14ac:dyDescent="0.25">
      <c r="A3" s="18">
        <v>45261</v>
      </c>
      <c r="B3" t="s">
        <v>160</v>
      </c>
      <c r="C3" s="23">
        <v>2.96</v>
      </c>
      <c r="D3" s="24">
        <v>16</v>
      </c>
      <c r="E3" s="24">
        <v>235</v>
      </c>
    </row>
    <row r="4" spans="1:5" x14ac:dyDescent="0.25">
      <c r="A4" s="18">
        <v>45265</v>
      </c>
      <c r="B4" t="s">
        <v>160</v>
      </c>
      <c r="C4" s="23">
        <v>2.96</v>
      </c>
      <c r="D4" s="24">
        <v>16</v>
      </c>
      <c r="E4" s="24">
        <v>238</v>
      </c>
    </row>
    <row r="5" spans="1:5" x14ac:dyDescent="0.25">
      <c r="A5" s="18">
        <v>45267</v>
      </c>
      <c r="B5" t="s">
        <v>160</v>
      </c>
      <c r="C5" s="23">
        <v>2.99</v>
      </c>
      <c r="D5" s="24">
        <v>17</v>
      </c>
      <c r="E5" s="24">
        <v>227</v>
      </c>
    </row>
    <row r="6" spans="1:5" x14ac:dyDescent="0.25">
      <c r="A6" s="18">
        <v>45268</v>
      </c>
      <c r="B6" t="s">
        <v>160</v>
      </c>
      <c r="C6" s="23">
        <v>3.1040000000000001</v>
      </c>
      <c r="D6" s="24">
        <v>18</v>
      </c>
      <c r="E6" s="24">
        <v>200</v>
      </c>
    </row>
    <row r="7" spans="1:5" x14ac:dyDescent="0.25">
      <c r="A7" s="20">
        <v>45303</v>
      </c>
      <c r="B7" s="19" t="s">
        <v>160</v>
      </c>
      <c r="C7" s="25">
        <v>2.95</v>
      </c>
      <c r="D7" s="26">
        <v>19</v>
      </c>
      <c r="E7" s="24">
        <v>247</v>
      </c>
    </row>
    <row r="8" spans="1:5" x14ac:dyDescent="0.25">
      <c r="A8" s="18">
        <v>45321</v>
      </c>
      <c r="B8" t="s">
        <v>160</v>
      </c>
      <c r="C8" s="28">
        <v>2.956</v>
      </c>
      <c r="D8" s="27">
        <v>19</v>
      </c>
      <c r="E8" s="27">
        <v>259</v>
      </c>
    </row>
    <row r="9" spans="1:5" x14ac:dyDescent="0.25">
      <c r="A9" s="18">
        <v>45322</v>
      </c>
      <c r="B9" t="s">
        <v>160</v>
      </c>
      <c r="C9" s="23">
        <v>3.1059999999999999</v>
      </c>
      <c r="D9" s="27">
        <v>20</v>
      </c>
      <c r="E9" s="27">
        <v>215</v>
      </c>
    </row>
    <row r="10" spans="1:5" x14ac:dyDescent="0.25">
      <c r="A10" s="18">
        <v>45327</v>
      </c>
      <c r="B10" t="s">
        <v>160</v>
      </c>
      <c r="C10" s="23">
        <v>3.0649999999999999</v>
      </c>
      <c r="D10" s="27">
        <v>22</v>
      </c>
      <c r="E10" s="27">
        <v>236</v>
      </c>
    </row>
    <row r="11" spans="1:5" x14ac:dyDescent="0.25">
      <c r="A11" s="18">
        <v>45391</v>
      </c>
      <c r="B11" t="s">
        <v>160</v>
      </c>
      <c r="C11" s="1">
        <v>3.0649999999999999</v>
      </c>
      <c r="D11" s="5">
        <v>22</v>
      </c>
      <c r="E11" s="5">
        <v>243</v>
      </c>
    </row>
    <row r="12" spans="1:5" x14ac:dyDescent="0.25">
      <c r="A12" s="18">
        <v>45392</v>
      </c>
      <c r="B12" t="s">
        <v>160</v>
      </c>
      <c r="C12" s="1">
        <v>3.081</v>
      </c>
      <c r="D12" s="5">
        <v>23</v>
      </c>
      <c r="E12" s="5">
        <v>233</v>
      </c>
    </row>
  </sheetData>
  <autoFilter ref="A1:E1" xr:uid="{C520DB65-5081-48B9-8A89-A891572EED4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B0F884-E0F0-47AF-9C5C-8541A4EAB73F}">
  <sheetPr codeName="Sheet1"/>
  <dimension ref="A1:E524"/>
  <sheetViews>
    <sheetView workbookViewId="0">
      <pane ySplit="1" topLeftCell="A406" activePane="bottomLeft" state="frozen"/>
      <selection pane="bottomLeft" activeCell="A259" sqref="A259"/>
    </sheetView>
  </sheetViews>
  <sheetFormatPr defaultColWidth="8.140625" defaultRowHeight="15" x14ac:dyDescent="0.25"/>
  <cols>
    <col min="1" max="1" width="24.5703125" bestFit="1" customWidth="1"/>
    <col min="2" max="2" width="8.85546875" style="1" bestFit="1" customWidth="1"/>
    <col min="3" max="4" width="7.5703125" style="5" bestFit="1" customWidth="1"/>
  </cols>
  <sheetData>
    <row r="1" spans="1:5" s="2" customFormat="1" x14ac:dyDescent="0.25">
      <c r="A1" s="2" t="s">
        <v>256</v>
      </c>
      <c r="B1" s="3" t="s">
        <v>257</v>
      </c>
      <c r="C1" s="4" t="s">
        <v>256</v>
      </c>
      <c r="D1" s="4" t="s">
        <v>256</v>
      </c>
      <c r="E1" s="4">
        <f>MAX(D:D)</f>
        <v>523</v>
      </c>
    </row>
    <row r="2" spans="1:5" x14ac:dyDescent="0.25">
      <c r="A2" t="s">
        <v>5</v>
      </c>
      <c r="B2" s="1">
        <v>5.1449999999999996</v>
      </c>
      <c r="C2" s="5">
        <v>33</v>
      </c>
      <c r="D2" s="5">
        <v>1</v>
      </c>
    </row>
    <row r="3" spans="1:5" x14ac:dyDescent="0.25">
      <c r="A3" t="s">
        <v>4</v>
      </c>
      <c r="B3" s="1">
        <v>5.0990000000000002</v>
      </c>
      <c r="C3" s="5">
        <v>35</v>
      </c>
      <c r="D3" s="5">
        <v>2</v>
      </c>
    </row>
    <row r="4" spans="1:5" x14ac:dyDescent="0.25">
      <c r="A4" t="s">
        <v>6</v>
      </c>
      <c r="B4" s="1">
        <v>4.8819999999999997</v>
      </c>
      <c r="C4" s="5">
        <v>25</v>
      </c>
      <c r="D4" s="5">
        <v>3</v>
      </c>
    </row>
    <row r="5" spans="1:5" x14ac:dyDescent="0.25">
      <c r="A5" t="s">
        <v>396</v>
      </c>
      <c r="B5" s="1">
        <v>4.7990000000000004</v>
      </c>
      <c r="C5" s="5">
        <v>6</v>
      </c>
      <c r="D5" s="5">
        <v>4</v>
      </c>
    </row>
    <row r="6" spans="1:5" x14ac:dyDescent="0.25">
      <c r="A6" t="s">
        <v>7</v>
      </c>
      <c r="B6" s="1">
        <v>4.5289999999999999</v>
      </c>
      <c r="C6" s="5">
        <v>108</v>
      </c>
      <c r="D6" s="5">
        <v>5</v>
      </c>
    </row>
    <row r="7" spans="1:5" x14ac:dyDescent="0.25">
      <c r="A7" t="s">
        <v>397</v>
      </c>
      <c r="B7" s="1">
        <v>4.4880000000000004</v>
      </c>
      <c r="C7" s="5">
        <v>11</v>
      </c>
      <c r="D7" s="5">
        <v>6</v>
      </c>
    </row>
    <row r="8" spans="1:5" x14ac:dyDescent="0.25">
      <c r="A8" t="s">
        <v>9</v>
      </c>
      <c r="B8" s="1">
        <v>4.4349999999999996</v>
      </c>
      <c r="C8" s="5">
        <v>65</v>
      </c>
      <c r="D8" s="5">
        <v>7</v>
      </c>
    </row>
    <row r="9" spans="1:5" x14ac:dyDescent="0.25">
      <c r="A9" t="s">
        <v>491</v>
      </c>
      <c r="B9" s="1">
        <v>4.4050000000000002</v>
      </c>
      <c r="C9" s="5">
        <v>2</v>
      </c>
      <c r="D9" s="5">
        <v>8</v>
      </c>
    </row>
    <row r="10" spans="1:5" x14ac:dyDescent="0.25">
      <c r="A10" t="s">
        <v>334</v>
      </c>
      <c r="B10" s="1">
        <v>4.3710000000000004</v>
      </c>
      <c r="C10" s="5">
        <v>29</v>
      </c>
      <c r="D10" s="5">
        <v>9</v>
      </c>
    </row>
    <row r="11" spans="1:5" x14ac:dyDescent="0.25">
      <c r="A11" t="s">
        <v>8</v>
      </c>
      <c r="B11" s="1">
        <v>4.3490000000000002</v>
      </c>
      <c r="C11" s="5">
        <v>83</v>
      </c>
      <c r="D11" s="5">
        <v>10</v>
      </c>
    </row>
    <row r="12" spans="1:5" x14ac:dyDescent="0.25">
      <c r="A12" t="s">
        <v>12</v>
      </c>
      <c r="B12" s="1">
        <v>4.3330000000000002</v>
      </c>
      <c r="C12" s="5">
        <v>51</v>
      </c>
      <c r="D12" s="5">
        <v>11</v>
      </c>
    </row>
    <row r="13" spans="1:5" x14ac:dyDescent="0.25">
      <c r="A13" t="s">
        <v>254</v>
      </c>
      <c r="B13" s="1">
        <v>4.3239999999999998</v>
      </c>
      <c r="C13" s="5">
        <v>17</v>
      </c>
      <c r="D13" s="5">
        <v>12</v>
      </c>
    </row>
    <row r="14" spans="1:5" x14ac:dyDescent="0.25">
      <c r="A14" t="s">
        <v>399</v>
      </c>
      <c r="B14" s="1">
        <v>4.3079999999999998</v>
      </c>
      <c r="C14" s="5">
        <v>16</v>
      </c>
      <c r="D14" s="5">
        <v>13</v>
      </c>
    </row>
    <row r="15" spans="1:5" x14ac:dyDescent="0.25">
      <c r="A15" t="s">
        <v>492</v>
      </c>
      <c r="B15" s="1">
        <v>4.3019999999999996</v>
      </c>
      <c r="C15" s="5">
        <v>2</v>
      </c>
      <c r="D15" s="5">
        <v>14</v>
      </c>
    </row>
    <row r="16" spans="1:5" x14ac:dyDescent="0.25">
      <c r="A16" t="s">
        <v>17</v>
      </c>
      <c r="B16" s="1">
        <v>4.2830000000000004</v>
      </c>
      <c r="C16" s="5">
        <v>40</v>
      </c>
      <c r="D16" s="5">
        <v>15</v>
      </c>
    </row>
    <row r="17" spans="1:4" x14ac:dyDescent="0.25">
      <c r="A17" t="s">
        <v>27</v>
      </c>
      <c r="B17" s="1">
        <v>4.2830000000000004</v>
      </c>
      <c r="C17" s="5">
        <v>79</v>
      </c>
      <c r="D17" s="5">
        <v>16</v>
      </c>
    </row>
    <row r="18" spans="1:4" x14ac:dyDescent="0.25">
      <c r="A18" t="s">
        <v>439</v>
      </c>
      <c r="B18" s="1">
        <v>4.2439999999999998</v>
      </c>
      <c r="C18" s="5">
        <v>21</v>
      </c>
      <c r="D18" s="5">
        <v>17</v>
      </c>
    </row>
    <row r="19" spans="1:4" x14ac:dyDescent="0.25">
      <c r="A19" t="s">
        <v>398</v>
      </c>
      <c r="B19" s="1">
        <v>4.2210000000000001</v>
      </c>
      <c r="C19" s="5">
        <v>10</v>
      </c>
      <c r="D19" s="5">
        <v>18</v>
      </c>
    </row>
    <row r="20" spans="1:4" x14ac:dyDescent="0.25">
      <c r="A20" t="s">
        <v>18</v>
      </c>
      <c r="B20" s="1">
        <v>4.2190000000000003</v>
      </c>
      <c r="C20" s="5">
        <v>14</v>
      </c>
      <c r="D20" s="5">
        <v>19</v>
      </c>
    </row>
    <row r="21" spans="1:4" x14ac:dyDescent="0.25">
      <c r="A21" t="s">
        <v>11</v>
      </c>
      <c r="B21" s="1">
        <v>4.218</v>
      </c>
      <c r="C21" s="5">
        <v>25</v>
      </c>
      <c r="D21" s="5">
        <v>20</v>
      </c>
    </row>
    <row r="22" spans="1:4" x14ac:dyDescent="0.25">
      <c r="A22" t="s">
        <v>33</v>
      </c>
      <c r="B22" s="1">
        <v>4.218</v>
      </c>
      <c r="C22" s="5">
        <v>14</v>
      </c>
      <c r="D22" s="5">
        <v>21</v>
      </c>
    </row>
    <row r="23" spans="1:4" x14ac:dyDescent="0.25">
      <c r="A23" t="s">
        <v>20</v>
      </c>
      <c r="B23" s="1">
        <v>4.2130000000000001</v>
      </c>
      <c r="C23" s="5">
        <v>34</v>
      </c>
      <c r="D23" s="5">
        <v>22</v>
      </c>
    </row>
    <row r="24" spans="1:4" x14ac:dyDescent="0.25">
      <c r="A24" t="s">
        <v>16</v>
      </c>
      <c r="B24" s="1">
        <v>4.2</v>
      </c>
      <c r="C24" s="5">
        <v>18</v>
      </c>
      <c r="D24" s="5">
        <v>23</v>
      </c>
    </row>
    <row r="25" spans="1:4" x14ac:dyDescent="0.25">
      <c r="A25" t="s">
        <v>298</v>
      </c>
      <c r="B25" s="1">
        <v>4.1989999999999998</v>
      </c>
      <c r="C25" s="5">
        <v>39</v>
      </c>
      <c r="D25" s="5">
        <v>24</v>
      </c>
    </row>
    <row r="26" spans="1:4" x14ac:dyDescent="0.25">
      <c r="A26" t="s">
        <v>10</v>
      </c>
      <c r="B26" s="1">
        <v>4.1989999999999998</v>
      </c>
      <c r="C26" s="5">
        <v>35</v>
      </c>
      <c r="D26" s="5">
        <v>25</v>
      </c>
    </row>
    <row r="27" spans="1:4" x14ac:dyDescent="0.25">
      <c r="A27" t="s">
        <v>13</v>
      </c>
      <c r="B27" s="1">
        <v>4.1509999999999998</v>
      </c>
      <c r="C27" s="5">
        <v>72</v>
      </c>
      <c r="D27" s="5">
        <v>26</v>
      </c>
    </row>
    <row r="28" spans="1:4" x14ac:dyDescent="0.25">
      <c r="A28" t="s">
        <v>22</v>
      </c>
      <c r="B28" s="1">
        <v>4.1310000000000002</v>
      </c>
      <c r="C28" s="5">
        <v>15</v>
      </c>
      <c r="D28" s="5">
        <v>27</v>
      </c>
    </row>
    <row r="29" spans="1:4" x14ac:dyDescent="0.25">
      <c r="A29" t="s">
        <v>26</v>
      </c>
      <c r="B29" s="1">
        <v>4.0999999999999996</v>
      </c>
      <c r="C29" s="5">
        <v>86</v>
      </c>
      <c r="D29" s="5">
        <v>28</v>
      </c>
    </row>
    <row r="30" spans="1:4" x14ac:dyDescent="0.25">
      <c r="A30" t="s">
        <v>14</v>
      </c>
      <c r="B30" s="1">
        <v>4.0990000000000002</v>
      </c>
      <c r="C30" s="5">
        <v>44</v>
      </c>
      <c r="D30" s="5">
        <v>29</v>
      </c>
    </row>
    <row r="31" spans="1:4" x14ac:dyDescent="0.25">
      <c r="A31" t="s">
        <v>264</v>
      </c>
      <c r="B31" s="1">
        <v>4.0990000000000002</v>
      </c>
      <c r="C31" s="5">
        <v>14</v>
      </c>
      <c r="D31" s="5">
        <v>30</v>
      </c>
    </row>
    <row r="32" spans="1:4" x14ac:dyDescent="0.25">
      <c r="A32" t="s">
        <v>19</v>
      </c>
      <c r="B32" s="1">
        <v>4.0960000000000001</v>
      </c>
      <c r="C32" s="5">
        <v>47</v>
      </c>
      <c r="D32" s="5">
        <v>31</v>
      </c>
    </row>
    <row r="33" spans="1:4" x14ac:dyDescent="0.25">
      <c r="A33" t="s">
        <v>24</v>
      </c>
      <c r="B33" s="1">
        <v>4.0949999999999998</v>
      </c>
      <c r="C33" s="5">
        <v>77</v>
      </c>
      <c r="D33" s="5">
        <v>32</v>
      </c>
    </row>
    <row r="34" spans="1:4" x14ac:dyDescent="0.25">
      <c r="A34" t="s">
        <v>51</v>
      </c>
      <c r="B34" s="1">
        <v>4.0910000000000002</v>
      </c>
      <c r="C34" s="5">
        <v>18</v>
      </c>
      <c r="D34" s="5">
        <v>33</v>
      </c>
    </row>
    <row r="35" spans="1:4" x14ac:dyDescent="0.25">
      <c r="A35" t="s">
        <v>28</v>
      </c>
      <c r="B35" s="1">
        <v>4.069</v>
      </c>
      <c r="C35" s="5">
        <v>34</v>
      </c>
      <c r="D35" s="5">
        <v>34</v>
      </c>
    </row>
    <row r="36" spans="1:4" x14ac:dyDescent="0.25">
      <c r="A36" t="s">
        <v>25</v>
      </c>
      <c r="B36" s="1">
        <v>4.048</v>
      </c>
      <c r="C36" s="5">
        <v>56</v>
      </c>
      <c r="D36" s="5">
        <v>35</v>
      </c>
    </row>
    <row r="37" spans="1:4" x14ac:dyDescent="0.25">
      <c r="A37" t="s">
        <v>39</v>
      </c>
      <c r="B37" s="1">
        <v>4.0410000000000004</v>
      </c>
      <c r="C37" s="5">
        <v>25</v>
      </c>
      <c r="D37" s="5">
        <v>36</v>
      </c>
    </row>
    <row r="38" spans="1:4" x14ac:dyDescent="0.25">
      <c r="A38" t="s">
        <v>30</v>
      </c>
      <c r="B38" s="1">
        <v>4.0380000000000003</v>
      </c>
      <c r="C38" s="5">
        <v>30</v>
      </c>
      <c r="D38" s="5">
        <v>37</v>
      </c>
    </row>
    <row r="39" spans="1:4" x14ac:dyDescent="0.25">
      <c r="A39" t="s">
        <v>15</v>
      </c>
      <c r="B39" s="1">
        <v>4.0250000000000004</v>
      </c>
      <c r="C39" s="5">
        <v>54</v>
      </c>
      <c r="D39" s="5">
        <v>38</v>
      </c>
    </row>
    <row r="40" spans="1:4" x14ac:dyDescent="0.25">
      <c r="A40" t="s">
        <v>29</v>
      </c>
      <c r="B40" s="1">
        <v>4.0140000000000002</v>
      </c>
      <c r="C40" s="5">
        <v>22</v>
      </c>
      <c r="D40" s="5">
        <v>39</v>
      </c>
    </row>
    <row r="41" spans="1:4" x14ac:dyDescent="0.25">
      <c r="A41" t="s">
        <v>40</v>
      </c>
      <c r="B41" s="1">
        <v>4.0060000000000002</v>
      </c>
      <c r="C41" s="5">
        <v>10</v>
      </c>
      <c r="D41" s="5">
        <v>40</v>
      </c>
    </row>
    <row r="42" spans="1:4" x14ac:dyDescent="0.25">
      <c r="A42" t="s">
        <v>36</v>
      </c>
      <c r="B42" s="1">
        <v>3.9990000000000001</v>
      </c>
      <c r="C42" s="5">
        <v>14</v>
      </c>
      <c r="D42" s="5">
        <v>41</v>
      </c>
    </row>
    <row r="43" spans="1:4" x14ac:dyDescent="0.25">
      <c r="A43" t="s">
        <v>75</v>
      </c>
      <c r="B43" s="1">
        <v>3.992</v>
      </c>
      <c r="C43" s="5">
        <v>11</v>
      </c>
      <c r="D43" s="5">
        <v>42</v>
      </c>
    </row>
    <row r="44" spans="1:4" x14ac:dyDescent="0.25">
      <c r="A44" t="s">
        <v>48</v>
      </c>
      <c r="B44" s="1">
        <v>3.9729999999999999</v>
      </c>
      <c r="C44" s="5">
        <v>39</v>
      </c>
      <c r="D44" s="5">
        <v>43</v>
      </c>
    </row>
    <row r="45" spans="1:4" x14ac:dyDescent="0.25">
      <c r="A45" t="s">
        <v>350</v>
      </c>
      <c r="B45" s="1">
        <v>3.96</v>
      </c>
      <c r="C45" s="5">
        <v>66</v>
      </c>
      <c r="D45" s="5">
        <v>44</v>
      </c>
    </row>
    <row r="46" spans="1:4" x14ac:dyDescent="0.25">
      <c r="A46" t="s">
        <v>120</v>
      </c>
      <c r="B46" s="1">
        <v>3.9590000000000001</v>
      </c>
      <c r="C46" s="5">
        <v>28</v>
      </c>
      <c r="D46" s="5">
        <v>45</v>
      </c>
    </row>
    <row r="47" spans="1:4" x14ac:dyDescent="0.25">
      <c r="A47" t="s">
        <v>65</v>
      </c>
      <c r="B47" s="1">
        <v>3.952</v>
      </c>
      <c r="C47" s="5">
        <v>49</v>
      </c>
      <c r="D47" s="5">
        <v>46</v>
      </c>
    </row>
    <row r="48" spans="1:4" x14ac:dyDescent="0.25">
      <c r="A48" t="s">
        <v>57</v>
      </c>
      <c r="B48" s="1">
        <v>3.9340000000000002</v>
      </c>
      <c r="C48" s="5">
        <v>5</v>
      </c>
      <c r="D48" s="5">
        <v>47</v>
      </c>
    </row>
    <row r="49" spans="1:4" x14ac:dyDescent="0.25">
      <c r="A49" t="s">
        <v>41</v>
      </c>
      <c r="B49" s="1">
        <v>3.907</v>
      </c>
      <c r="C49" s="5">
        <v>10</v>
      </c>
      <c r="D49" s="5">
        <v>48</v>
      </c>
    </row>
    <row r="50" spans="1:4" x14ac:dyDescent="0.25">
      <c r="A50" t="s">
        <v>79</v>
      </c>
      <c r="B50" s="1">
        <v>3.9049999999999998</v>
      </c>
      <c r="C50" s="5">
        <v>25</v>
      </c>
      <c r="D50" s="5">
        <v>49</v>
      </c>
    </row>
    <row r="51" spans="1:4" x14ac:dyDescent="0.25">
      <c r="A51" t="s">
        <v>326</v>
      </c>
      <c r="B51" s="1">
        <v>3.8959999999999999</v>
      </c>
      <c r="C51" s="5">
        <v>10</v>
      </c>
      <c r="D51" s="5">
        <v>50</v>
      </c>
    </row>
    <row r="52" spans="1:4" x14ac:dyDescent="0.25">
      <c r="A52" t="s">
        <v>263</v>
      </c>
      <c r="B52" s="1">
        <v>3.87</v>
      </c>
      <c r="C52" s="5">
        <v>1</v>
      </c>
      <c r="D52" s="5">
        <v>51</v>
      </c>
    </row>
    <row r="53" spans="1:4" x14ac:dyDescent="0.25">
      <c r="A53" t="s">
        <v>38</v>
      </c>
      <c r="B53" s="1">
        <v>3.863</v>
      </c>
      <c r="C53" s="5">
        <v>26</v>
      </c>
      <c r="D53" s="5">
        <v>52</v>
      </c>
    </row>
    <row r="54" spans="1:4" x14ac:dyDescent="0.25">
      <c r="A54" t="s">
        <v>54</v>
      </c>
      <c r="B54" s="1">
        <v>3.8540000000000001</v>
      </c>
      <c r="C54" s="5">
        <v>4</v>
      </c>
      <c r="D54" s="5">
        <v>53</v>
      </c>
    </row>
    <row r="55" spans="1:4" x14ac:dyDescent="0.25">
      <c r="A55" t="s">
        <v>34</v>
      </c>
      <c r="B55" s="1">
        <v>3.847</v>
      </c>
      <c r="C55" s="5">
        <v>26</v>
      </c>
      <c r="D55" s="5">
        <v>54</v>
      </c>
    </row>
    <row r="56" spans="1:4" x14ac:dyDescent="0.25">
      <c r="A56" t="s">
        <v>62</v>
      </c>
      <c r="B56" s="1">
        <v>3.83</v>
      </c>
      <c r="C56" s="5">
        <v>26</v>
      </c>
      <c r="D56" s="5">
        <v>55</v>
      </c>
    </row>
    <row r="57" spans="1:4" x14ac:dyDescent="0.25">
      <c r="A57" t="s">
        <v>52</v>
      </c>
      <c r="B57" s="1">
        <v>3.83</v>
      </c>
      <c r="C57" s="5">
        <v>18</v>
      </c>
      <c r="D57" s="5">
        <v>56</v>
      </c>
    </row>
    <row r="58" spans="1:4" x14ac:dyDescent="0.25">
      <c r="A58" t="s">
        <v>400</v>
      </c>
      <c r="B58" s="1">
        <v>3.827</v>
      </c>
      <c r="C58" s="5">
        <v>6</v>
      </c>
      <c r="D58" s="5">
        <v>57</v>
      </c>
    </row>
    <row r="59" spans="1:4" x14ac:dyDescent="0.25">
      <c r="A59" t="s">
        <v>37</v>
      </c>
      <c r="B59" s="1">
        <v>3.8130000000000002</v>
      </c>
      <c r="C59" s="5">
        <v>64</v>
      </c>
      <c r="D59" s="5">
        <v>58</v>
      </c>
    </row>
    <row r="60" spans="1:4" x14ac:dyDescent="0.25">
      <c r="A60" t="s">
        <v>32</v>
      </c>
      <c r="B60" s="1">
        <v>3.8090000000000002</v>
      </c>
      <c r="C60" s="5">
        <v>98</v>
      </c>
      <c r="D60" s="5">
        <v>59</v>
      </c>
    </row>
    <row r="61" spans="1:4" x14ac:dyDescent="0.25">
      <c r="A61" t="s">
        <v>43</v>
      </c>
      <c r="B61" s="1">
        <v>3.7959999999999998</v>
      </c>
      <c r="C61" s="5">
        <v>2</v>
      </c>
      <c r="D61" s="5">
        <v>60</v>
      </c>
    </row>
    <row r="62" spans="1:4" x14ac:dyDescent="0.25">
      <c r="A62" t="s">
        <v>342</v>
      </c>
      <c r="B62" s="1">
        <v>3.7759999999999998</v>
      </c>
      <c r="C62" s="5">
        <v>4</v>
      </c>
      <c r="D62" s="5">
        <v>61</v>
      </c>
    </row>
    <row r="63" spans="1:4" x14ac:dyDescent="0.25">
      <c r="A63" t="s">
        <v>46</v>
      </c>
      <c r="B63" s="1">
        <v>3.774</v>
      </c>
      <c r="C63" s="5">
        <v>53</v>
      </c>
      <c r="D63" s="5">
        <v>62</v>
      </c>
    </row>
    <row r="64" spans="1:4" x14ac:dyDescent="0.25">
      <c r="A64" t="s">
        <v>31</v>
      </c>
      <c r="B64" s="1">
        <v>3.7719999999999998</v>
      </c>
      <c r="C64" s="5">
        <v>83</v>
      </c>
      <c r="D64" s="5">
        <v>63</v>
      </c>
    </row>
    <row r="65" spans="1:4" x14ac:dyDescent="0.25">
      <c r="A65" t="s">
        <v>80</v>
      </c>
      <c r="B65" s="1">
        <v>3.77</v>
      </c>
      <c r="C65" s="5">
        <v>59</v>
      </c>
      <c r="D65" s="5">
        <v>64</v>
      </c>
    </row>
    <row r="66" spans="1:4" x14ac:dyDescent="0.25">
      <c r="A66" t="s">
        <v>125</v>
      </c>
      <c r="B66" s="1">
        <v>3.7690000000000001</v>
      </c>
      <c r="C66" s="5">
        <v>32</v>
      </c>
      <c r="D66" s="5">
        <v>65</v>
      </c>
    </row>
    <row r="67" spans="1:4" x14ac:dyDescent="0.25">
      <c r="A67" t="s">
        <v>66</v>
      </c>
      <c r="B67" s="1">
        <v>3.76</v>
      </c>
      <c r="C67" s="5">
        <v>56</v>
      </c>
      <c r="D67" s="5">
        <v>66</v>
      </c>
    </row>
    <row r="68" spans="1:4" x14ac:dyDescent="0.25">
      <c r="A68" t="s">
        <v>45</v>
      </c>
      <c r="B68" s="1">
        <v>3.75</v>
      </c>
      <c r="C68" s="5">
        <v>19</v>
      </c>
      <c r="D68" s="5">
        <v>67</v>
      </c>
    </row>
    <row r="69" spans="1:4" x14ac:dyDescent="0.25">
      <c r="A69" t="s">
        <v>142</v>
      </c>
      <c r="B69" s="1">
        <v>3.7480000000000002</v>
      </c>
      <c r="C69" s="5">
        <v>10</v>
      </c>
      <c r="D69" s="5">
        <v>68</v>
      </c>
    </row>
    <row r="70" spans="1:4" x14ac:dyDescent="0.25">
      <c r="A70" t="s">
        <v>440</v>
      </c>
      <c r="B70" s="1">
        <v>3.7480000000000002</v>
      </c>
      <c r="C70" s="5">
        <v>2</v>
      </c>
      <c r="D70" s="5">
        <v>69</v>
      </c>
    </row>
    <row r="71" spans="1:4" x14ac:dyDescent="0.25">
      <c r="A71" t="s">
        <v>47</v>
      </c>
      <c r="B71" s="1">
        <v>3.7320000000000002</v>
      </c>
      <c r="C71" s="5">
        <v>1</v>
      </c>
      <c r="D71" s="5">
        <v>70</v>
      </c>
    </row>
    <row r="72" spans="1:4" x14ac:dyDescent="0.25">
      <c r="A72" t="s">
        <v>441</v>
      </c>
      <c r="B72" s="1">
        <v>3.73</v>
      </c>
      <c r="C72" s="5">
        <v>1</v>
      </c>
      <c r="D72" s="5">
        <v>71</v>
      </c>
    </row>
    <row r="73" spans="1:4" x14ac:dyDescent="0.25">
      <c r="A73" t="s">
        <v>44</v>
      </c>
      <c r="B73" s="1">
        <v>3.7240000000000002</v>
      </c>
      <c r="C73" s="5">
        <v>42</v>
      </c>
      <c r="D73" s="5">
        <v>72</v>
      </c>
    </row>
    <row r="74" spans="1:4" x14ac:dyDescent="0.25">
      <c r="A74" t="s">
        <v>61</v>
      </c>
      <c r="B74" s="1">
        <v>3.7210000000000001</v>
      </c>
      <c r="C74" s="5">
        <v>9</v>
      </c>
      <c r="D74" s="5">
        <v>73</v>
      </c>
    </row>
    <row r="75" spans="1:4" x14ac:dyDescent="0.25">
      <c r="A75" t="s">
        <v>55</v>
      </c>
      <c r="B75" s="1">
        <v>3.718</v>
      </c>
      <c r="C75" s="5">
        <v>18</v>
      </c>
      <c r="D75" s="5">
        <v>74</v>
      </c>
    </row>
    <row r="76" spans="1:4" x14ac:dyDescent="0.25">
      <c r="A76" t="s">
        <v>50</v>
      </c>
      <c r="B76" s="1">
        <v>3.714</v>
      </c>
      <c r="C76" s="5">
        <v>12</v>
      </c>
      <c r="D76" s="5">
        <v>75</v>
      </c>
    </row>
    <row r="77" spans="1:4" x14ac:dyDescent="0.25">
      <c r="A77" t="s">
        <v>313</v>
      </c>
      <c r="B77" s="1">
        <v>3.7080000000000002</v>
      </c>
      <c r="C77" s="5">
        <v>19</v>
      </c>
      <c r="D77" s="5">
        <v>76</v>
      </c>
    </row>
    <row r="78" spans="1:4" x14ac:dyDescent="0.25">
      <c r="A78" t="s">
        <v>53</v>
      </c>
      <c r="B78" s="1">
        <v>3.7080000000000002</v>
      </c>
      <c r="C78" s="5">
        <v>1</v>
      </c>
      <c r="D78" s="5">
        <v>77</v>
      </c>
    </row>
    <row r="79" spans="1:4" x14ac:dyDescent="0.25">
      <c r="A79" t="s">
        <v>77</v>
      </c>
      <c r="B79" s="1">
        <v>3.7010000000000001</v>
      </c>
      <c r="C79" s="5">
        <v>8</v>
      </c>
      <c r="D79" s="5">
        <v>78</v>
      </c>
    </row>
    <row r="80" spans="1:4" x14ac:dyDescent="0.25">
      <c r="A80" t="s">
        <v>42</v>
      </c>
      <c r="B80" s="1">
        <v>3.7</v>
      </c>
      <c r="C80" s="5">
        <v>55</v>
      </c>
      <c r="D80" s="5">
        <v>79</v>
      </c>
    </row>
    <row r="81" spans="1:4" x14ac:dyDescent="0.25">
      <c r="A81" t="s">
        <v>442</v>
      </c>
      <c r="B81" s="1">
        <v>3.6720000000000002</v>
      </c>
      <c r="C81" s="5">
        <v>4</v>
      </c>
      <c r="D81" s="5">
        <v>80</v>
      </c>
    </row>
    <row r="82" spans="1:4" x14ac:dyDescent="0.25">
      <c r="A82" t="s">
        <v>366</v>
      </c>
      <c r="B82" s="1">
        <v>3.6680000000000001</v>
      </c>
      <c r="C82" s="5">
        <v>5</v>
      </c>
      <c r="D82" s="5">
        <v>81</v>
      </c>
    </row>
    <row r="83" spans="1:4" x14ac:dyDescent="0.25">
      <c r="A83" t="s">
        <v>351</v>
      </c>
      <c r="B83" s="1">
        <v>3.6619999999999999</v>
      </c>
      <c r="C83" s="5">
        <v>4</v>
      </c>
      <c r="D83" s="5">
        <v>82</v>
      </c>
    </row>
    <row r="84" spans="1:4" x14ac:dyDescent="0.25">
      <c r="A84" t="s">
        <v>327</v>
      </c>
      <c r="B84" s="1">
        <v>3.6579999999999999</v>
      </c>
      <c r="C84" s="5">
        <v>2</v>
      </c>
      <c r="D84" s="5">
        <v>83</v>
      </c>
    </row>
    <row r="85" spans="1:4" x14ac:dyDescent="0.25">
      <c r="A85" t="s">
        <v>328</v>
      </c>
      <c r="B85" s="1">
        <v>3.6520000000000001</v>
      </c>
      <c r="C85" s="5">
        <v>3</v>
      </c>
      <c r="D85" s="5">
        <v>84</v>
      </c>
    </row>
    <row r="86" spans="1:4" x14ac:dyDescent="0.25">
      <c r="A86" t="s">
        <v>265</v>
      </c>
      <c r="B86" s="1">
        <v>3.65</v>
      </c>
      <c r="C86" s="5">
        <v>3</v>
      </c>
      <c r="D86" s="5">
        <v>85</v>
      </c>
    </row>
    <row r="87" spans="1:4" x14ac:dyDescent="0.25">
      <c r="A87" t="s">
        <v>266</v>
      </c>
      <c r="B87" s="1">
        <v>3.6459999999999999</v>
      </c>
      <c r="C87" s="5">
        <v>4</v>
      </c>
      <c r="D87" s="5">
        <v>86</v>
      </c>
    </row>
    <row r="88" spans="1:4" x14ac:dyDescent="0.25">
      <c r="A88" t="s">
        <v>335</v>
      </c>
      <c r="B88" s="1">
        <v>3.6419999999999999</v>
      </c>
      <c r="C88" s="5">
        <v>2</v>
      </c>
      <c r="D88" s="5">
        <v>87</v>
      </c>
    </row>
    <row r="89" spans="1:4" x14ac:dyDescent="0.25">
      <c r="A89" t="s">
        <v>59</v>
      </c>
      <c r="B89" s="1">
        <v>3.6419999999999999</v>
      </c>
      <c r="C89" s="5">
        <v>31</v>
      </c>
      <c r="D89" s="5">
        <v>88</v>
      </c>
    </row>
    <row r="90" spans="1:4" x14ac:dyDescent="0.25">
      <c r="A90" t="s">
        <v>414</v>
      </c>
      <c r="B90" s="1">
        <v>3.633</v>
      </c>
      <c r="C90" s="5">
        <v>11</v>
      </c>
      <c r="D90" s="5">
        <v>89</v>
      </c>
    </row>
    <row r="91" spans="1:4" x14ac:dyDescent="0.25">
      <c r="A91" t="s">
        <v>70</v>
      </c>
      <c r="B91" s="1">
        <v>3.6269999999999998</v>
      </c>
      <c r="C91" s="5">
        <v>10</v>
      </c>
      <c r="D91" s="5">
        <v>90</v>
      </c>
    </row>
    <row r="92" spans="1:4" x14ac:dyDescent="0.25">
      <c r="A92" t="s">
        <v>535</v>
      </c>
      <c r="B92" s="1">
        <v>3.621</v>
      </c>
      <c r="C92" s="5">
        <v>17</v>
      </c>
      <c r="D92" s="5">
        <v>91</v>
      </c>
    </row>
    <row r="93" spans="1:4" x14ac:dyDescent="0.25">
      <c r="A93" t="s">
        <v>123</v>
      </c>
      <c r="B93" s="1">
        <v>3.6190000000000002</v>
      </c>
      <c r="C93" s="5">
        <v>35</v>
      </c>
      <c r="D93" s="5">
        <v>92</v>
      </c>
    </row>
    <row r="94" spans="1:4" x14ac:dyDescent="0.25">
      <c r="A94" t="s">
        <v>74</v>
      </c>
      <c r="B94" s="1">
        <v>3.605</v>
      </c>
      <c r="C94" s="5">
        <v>45</v>
      </c>
      <c r="D94" s="5">
        <v>93</v>
      </c>
    </row>
    <row r="95" spans="1:4" x14ac:dyDescent="0.25">
      <c r="A95" t="s">
        <v>312</v>
      </c>
      <c r="B95" s="1">
        <v>3.601</v>
      </c>
      <c r="C95" s="5">
        <v>2</v>
      </c>
      <c r="D95" s="5">
        <v>94</v>
      </c>
    </row>
    <row r="96" spans="1:4" x14ac:dyDescent="0.25">
      <c r="A96" t="s">
        <v>56</v>
      </c>
      <c r="B96" s="1">
        <v>3.5979999999999999</v>
      </c>
      <c r="C96" s="5">
        <v>3</v>
      </c>
      <c r="D96" s="5">
        <v>95</v>
      </c>
    </row>
    <row r="97" spans="1:4" x14ac:dyDescent="0.25">
      <c r="A97" t="s">
        <v>267</v>
      </c>
      <c r="B97" s="1">
        <v>3.58</v>
      </c>
      <c r="C97" s="5">
        <v>2</v>
      </c>
      <c r="D97" s="5">
        <v>96</v>
      </c>
    </row>
    <row r="98" spans="1:4" x14ac:dyDescent="0.25">
      <c r="A98" t="s">
        <v>98</v>
      </c>
      <c r="B98" s="1">
        <v>3.577</v>
      </c>
      <c r="C98" s="5">
        <v>13</v>
      </c>
      <c r="D98" s="5">
        <v>97</v>
      </c>
    </row>
    <row r="99" spans="1:4" x14ac:dyDescent="0.25">
      <c r="A99" t="s">
        <v>49</v>
      </c>
      <c r="B99" s="1">
        <v>3.5760000000000001</v>
      </c>
      <c r="C99" s="5">
        <v>9</v>
      </c>
      <c r="D99" s="5">
        <v>98</v>
      </c>
    </row>
    <row r="100" spans="1:4" x14ac:dyDescent="0.25">
      <c r="A100" t="s">
        <v>83</v>
      </c>
      <c r="B100" s="1">
        <v>3.5659999999999998</v>
      </c>
      <c r="C100" s="5">
        <v>29</v>
      </c>
      <c r="D100" s="5">
        <v>99</v>
      </c>
    </row>
    <row r="101" spans="1:4" x14ac:dyDescent="0.25">
      <c r="A101" t="s">
        <v>60</v>
      </c>
      <c r="B101" s="1">
        <v>3.5649999999999999</v>
      </c>
      <c r="C101" s="5">
        <v>74</v>
      </c>
      <c r="D101" s="5">
        <v>100</v>
      </c>
    </row>
    <row r="102" spans="1:4" x14ac:dyDescent="0.25">
      <c r="A102" t="s">
        <v>64</v>
      </c>
      <c r="B102" s="1">
        <v>3.5579999999999998</v>
      </c>
      <c r="C102" s="5">
        <v>57</v>
      </c>
      <c r="D102" s="5">
        <v>101</v>
      </c>
    </row>
    <row r="103" spans="1:4" x14ac:dyDescent="0.25">
      <c r="A103" t="s">
        <v>324</v>
      </c>
      <c r="B103" s="1">
        <v>3.552</v>
      </c>
      <c r="C103" s="5">
        <v>2</v>
      </c>
      <c r="D103" s="5">
        <v>102</v>
      </c>
    </row>
    <row r="104" spans="1:4" x14ac:dyDescent="0.25">
      <c r="A104" t="s">
        <v>69</v>
      </c>
      <c r="B104" s="1">
        <v>3.5489999999999999</v>
      </c>
      <c r="C104" s="5">
        <v>12</v>
      </c>
      <c r="D104" s="5">
        <v>103</v>
      </c>
    </row>
    <row r="105" spans="1:4" x14ac:dyDescent="0.25">
      <c r="A105" t="s">
        <v>268</v>
      </c>
      <c r="B105" s="1">
        <v>3.548</v>
      </c>
      <c r="C105" s="5">
        <v>1</v>
      </c>
      <c r="D105" s="5">
        <v>104</v>
      </c>
    </row>
    <row r="106" spans="1:4" x14ac:dyDescent="0.25">
      <c r="A106" t="s">
        <v>35</v>
      </c>
      <c r="B106" s="1">
        <v>3.5459999999999998</v>
      </c>
      <c r="C106" s="5">
        <v>84</v>
      </c>
      <c r="D106" s="5">
        <v>105</v>
      </c>
    </row>
    <row r="107" spans="1:4" x14ac:dyDescent="0.25">
      <c r="A107" t="s">
        <v>352</v>
      </c>
      <c r="B107" s="1">
        <v>3.544</v>
      </c>
      <c r="C107" s="5">
        <v>1</v>
      </c>
      <c r="D107" s="5">
        <v>106</v>
      </c>
    </row>
    <row r="108" spans="1:4" x14ac:dyDescent="0.25">
      <c r="A108" t="s">
        <v>284</v>
      </c>
      <c r="B108" s="1">
        <v>3.544</v>
      </c>
      <c r="C108" s="5">
        <v>31</v>
      </c>
      <c r="D108" s="5">
        <v>107</v>
      </c>
    </row>
    <row r="109" spans="1:4" x14ac:dyDescent="0.25">
      <c r="A109" t="s">
        <v>78</v>
      </c>
      <c r="B109" s="1">
        <v>3.5430000000000001</v>
      </c>
      <c r="C109" s="5">
        <v>14</v>
      </c>
      <c r="D109" s="5">
        <v>108</v>
      </c>
    </row>
    <row r="110" spans="1:4" x14ac:dyDescent="0.25">
      <c r="A110" t="s">
        <v>443</v>
      </c>
      <c r="B110" s="1">
        <v>3.5379999999999998</v>
      </c>
      <c r="C110" s="5">
        <v>3</v>
      </c>
      <c r="D110" s="5">
        <v>109</v>
      </c>
    </row>
    <row r="111" spans="1:4" x14ac:dyDescent="0.25">
      <c r="A111" t="s">
        <v>71</v>
      </c>
      <c r="B111" s="1">
        <v>3.532</v>
      </c>
      <c r="C111" s="5">
        <v>22</v>
      </c>
      <c r="D111" s="5">
        <v>110</v>
      </c>
    </row>
    <row r="112" spans="1:4" x14ac:dyDescent="0.25">
      <c r="A112" t="s">
        <v>269</v>
      </c>
      <c r="B112" s="1">
        <v>3.532</v>
      </c>
      <c r="C112" s="5">
        <v>2</v>
      </c>
      <c r="D112" s="5">
        <v>111</v>
      </c>
    </row>
    <row r="113" spans="1:4" x14ac:dyDescent="0.25">
      <c r="A113" t="s">
        <v>353</v>
      </c>
      <c r="B113" s="1">
        <v>3.532</v>
      </c>
      <c r="C113" s="5">
        <v>1</v>
      </c>
      <c r="D113" s="5">
        <v>112</v>
      </c>
    </row>
    <row r="114" spans="1:4" x14ac:dyDescent="0.25">
      <c r="A114" t="s">
        <v>109</v>
      </c>
      <c r="B114" s="1">
        <v>3.5289999999999999</v>
      </c>
      <c r="C114" s="5">
        <v>29</v>
      </c>
      <c r="D114" s="5">
        <v>113</v>
      </c>
    </row>
    <row r="115" spans="1:4" x14ac:dyDescent="0.25">
      <c r="A115" t="s">
        <v>73</v>
      </c>
      <c r="B115" s="1">
        <v>3.528</v>
      </c>
      <c r="C115" s="5">
        <v>2</v>
      </c>
      <c r="D115" s="5">
        <v>114</v>
      </c>
    </row>
    <row r="116" spans="1:4" x14ac:dyDescent="0.25">
      <c r="A116" t="s">
        <v>354</v>
      </c>
      <c r="B116" s="1">
        <v>3.5230000000000001</v>
      </c>
      <c r="C116" s="5">
        <v>4</v>
      </c>
      <c r="D116" s="5">
        <v>115</v>
      </c>
    </row>
    <row r="117" spans="1:4" x14ac:dyDescent="0.25">
      <c r="A117" t="s">
        <v>360</v>
      </c>
      <c r="B117" s="1">
        <v>3.5219999999999998</v>
      </c>
      <c r="C117" s="5">
        <v>12</v>
      </c>
      <c r="D117" s="5">
        <v>116</v>
      </c>
    </row>
    <row r="118" spans="1:4" x14ac:dyDescent="0.25">
      <c r="A118" t="s">
        <v>63</v>
      </c>
      <c r="B118" s="1">
        <v>3.52</v>
      </c>
      <c r="C118" s="5">
        <v>12</v>
      </c>
      <c r="D118" s="5">
        <v>117</v>
      </c>
    </row>
    <row r="119" spans="1:4" x14ac:dyDescent="0.25">
      <c r="A119" t="s">
        <v>106</v>
      </c>
      <c r="B119" s="1">
        <v>3.516</v>
      </c>
      <c r="C119" s="5">
        <v>18</v>
      </c>
      <c r="D119" s="5">
        <v>118</v>
      </c>
    </row>
    <row r="120" spans="1:4" x14ac:dyDescent="0.25">
      <c r="A120" t="s">
        <v>461</v>
      </c>
      <c r="B120" s="1">
        <v>3.5150000000000001</v>
      </c>
      <c r="C120" s="5">
        <v>7</v>
      </c>
      <c r="D120" s="5">
        <v>119</v>
      </c>
    </row>
    <row r="121" spans="1:4" x14ac:dyDescent="0.25">
      <c r="A121" t="s">
        <v>88</v>
      </c>
      <c r="B121" s="1">
        <v>3.4990000000000001</v>
      </c>
      <c r="C121" s="5">
        <v>55</v>
      </c>
      <c r="D121" s="5">
        <v>120</v>
      </c>
    </row>
    <row r="122" spans="1:4" x14ac:dyDescent="0.25">
      <c r="A122" t="s">
        <v>185</v>
      </c>
      <c r="B122" s="1">
        <v>3.496</v>
      </c>
      <c r="C122" s="5">
        <v>25</v>
      </c>
      <c r="D122" s="5">
        <v>121</v>
      </c>
    </row>
    <row r="123" spans="1:4" x14ac:dyDescent="0.25">
      <c r="A123" t="s">
        <v>67</v>
      </c>
      <c r="B123" s="1">
        <v>3.4910000000000001</v>
      </c>
      <c r="C123" s="5">
        <v>24</v>
      </c>
      <c r="D123" s="5">
        <v>122</v>
      </c>
    </row>
    <row r="124" spans="1:4" x14ac:dyDescent="0.25">
      <c r="A124" t="s">
        <v>82</v>
      </c>
      <c r="B124" s="1">
        <v>3.49</v>
      </c>
      <c r="C124" s="5">
        <v>5</v>
      </c>
      <c r="D124" s="5">
        <v>123</v>
      </c>
    </row>
    <row r="125" spans="1:4" x14ac:dyDescent="0.25">
      <c r="A125" t="s">
        <v>81</v>
      </c>
      <c r="B125" s="1">
        <v>3.4889999999999999</v>
      </c>
      <c r="C125" s="5">
        <v>16</v>
      </c>
      <c r="D125" s="5">
        <v>124</v>
      </c>
    </row>
    <row r="126" spans="1:4" x14ac:dyDescent="0.25">
      <c r="A126" t="s">
        <v>325</v>
      </c>
      <c r="B126" s="1">
        <v>3.4740000000000002</v>
      </c>
      <c r="C126" s="5">
        <v>2</v>
      </c>
      <c r="D126" s="5">
        <v>125</v>
      </c>
    </row>
    <row r="127" spans="1:4" x14ac:dyDescent="0.25">
      <c r="A127" t="s">
        <v>58</v>
      </c>
      <c r="B127" s="1">
        <v>3.4710000000000001</v>
      </c>
      <c r="C127" s="5">
        <v>62</v>
      </c>
      <c r="D127" s="5">
        <v>126</v>
      </c>
    </row>
    <row r="128" spans="1:4" x14ac:dyDescent="0.25">
      <c r="A128" t="s">
        <v>402</v>
      </c>
      <c r="B128" s="1">
        <v>3.468</v>
      </c>
      <c r="C128" s="5">
        <v>4</v>
      </c>
      <c r="D128" s="5">
        <v>127</v>
      </c>
    </row>
    <row r="129" spans="1:4" x14ac:dyDescent="0.25">
      <c r="A129" t="s">
        <v>85</v>
      </c>
      <c r="B129" s="1">
        <v>3.4630000000000001</v>
      </c>
      <c r="C129" s="5">
        <v>53</v>
      </c>
      <c r="D129" s="5">
        <v>128</v>
      </c>
    </row>
    <row r="130" spans="1:4" x14ac:dyDescent="0.25">
      <c r="A130" t="s">
        <v>361</v>
      </c>
      <c r="B130" s="1">
        <v>3.452</v>
      </c>
      <c r="C130" s="5">
        <v>20</v>
      </c>
      <c r="D130" s="5">
        <v>129</v>
      </c>
    </row>
    <row r="131" spans="1:4" x14ac:dyDescent="0.25">
      <c r="A131" t="s">
        <v>331</v>
      </c>
      <c r="B131" s="1">
        <v>3.4470000000000001</v>
      </c>
      <c r="C131" s="5">
        <v>23</v>
      </c>
      <c r="D131" s="5">
        <v>130</v>
      </c>
    </row>
    <row r="132" spans="1:4" x14ac:dyDescent="0.25">
      <c r="A132" t="s">
        <v>278</v>
      </c>
      <c r="B132" s="1">
        <v>3.4460000000000002</v>
      </c>
      <c r="C132" s="5">
        <v>4</v>
      </c>
      <c r="D132" s="5">
        <v>131</v>
      </c>
    </row>
    <row r="133" spans="1:4" x14ac:dyDescent="0.25">
      <c r="A133" t="s">
        <v>87</v>
      </c>
      <c r="B133" s="1">
        <v>3.4420000000000002</v>
      </c>
      <c r="C133" s="5">
        <v>1</v>
      </c>
      <c r="D133" s="5">
        <v>132</v>
      </c>
    </row>
    <row r="134" spans="1:4" x14ac:dyDescent="0.25">
      <c r="A134" t="s">
        <v>372</v>
      </c>
      <c r="B134" s="1">
        <v>3.4409999999999998</v>
      </c>
      <c r="C134" s="5">
        <v>9</v>
      </c>
      <c r="D134" s="5">
        <v>133</v>
      </c>
    </row>
    <row r="135" spans="1:4" x14ac:dyDescent="0.25">
      <c r="A135" t="s">
        <v>72</v>
      </c>
      <c r="B135" s="1">
        <v>3.4369999999999998</v>
      </c>
      <c r="C135" s="5">
        <v>28</v>
      </c>
      <c r="D135" s="5">
        <v>134</v>
      </c>
    </row>
    <row r="136" spans="1:4" x14ac:dyDescent="0.25">
      <c r="A136" t="s">
        <v>102</v>
      </c>
      <c r="B136" s="1">
        <v>3.4289999999999998</v>
      </c>
      <c r="C136" s="5">
        <v>44</v>
      </c>
      <c r="D136" s="5">
        <v>135</v>
      </c>
    </row>
    <row r="137" spans="1:4" x14ac:dyDescent="0.25">
      <c r="A137" t="s">
        <v>90</v>
      </c>
      <c r="B137" s="1">
        <v>3.4260000000000002</v>
      </c>
      <c r="C137" s="5">
        <v>30</v>
      </c>
      <c r="D137" s="5">
        <v>136</v>
      </c>
    </row>
    <row r="138" spans="1:4" x14ac:dyDescent="0.25">
      <c r="A138" t="s">
        <v>329</v>
      </c>
      <c r="B138" s="1">
        <v>3.4260000000000002</v>
      </c>
      <c r="C138" s="5">
        <v>3</v>
      </c>
      <c r="D138" s="5">
        <v>137</v>
      </c>
    </row>
    <row r="139" spans="1:4" x14ac:dyDescent="0.25">
      <c r="A139" t="s">
        <v>86</v>
      </c>
      <c r="B139" s="1">
        <v>3.4209999999999998</v>
      </c>
      <c r="C139" s="5">
        <v>52</v>
      </c>
      <c r="D139" s="5">
        <v>138</v>
      </c>
    </row>
    <row r="140" spans="1:4" x14ac:dyDescent="0.25">
      <c r="A140" t="s">
        <v>281</v>
      </c>
      <c r="B140" s="1">
        <v>3.42</v>
      </c>
      <c r="C140" s="5">
        <v>6</v>
      </c>
      <c r="D140" s="5">
        <v>139</v>
      </c>
    </row>
    <row r="141" spans="1:4" x14ac:dyDescent="0.25">
      <c r="A141" t="s">
        <v>92</v>
      </c>
      <c r="B141" s="1">
        <v>3.4119999999999999</v>
      </c>
      <c r="C141" s="5">
        <v>85</v>
      </c>
      <c r="D141" s="5">
        <v>140</v>
      </c>
    </row>
    <row r="142" spans="1:4" x14ac:dyDescent="0.25">
      <c r="A142" t="s">
        <v>444</v>
      </c>
      <c r="B142" s="1">
        <v>3.41</v>
      </c>
      <c r="C142" s="5">
        <v>8</v>
      </c>
      <c r="D142" s="5">
        <v>141</v>
      </c>
    </row>
    <row r="143" spans="1:4" x14ac:dyDescent="0.25">
      <c r="A143" t="s">
        <v>445</v>
      </c>
      <c r="B143" s="1">
        <v>3.41</v>
      </c>
      <c r="C143" s="5">
        <v>2</v>
      </c>
      <c r="D143" s="5">
        <v>142</v>
      </c>
    </row>
    <row r="144" spans="1:4" x14ac:dyDescent="0.25">
      <c r="A144" t="s">
        <v>355</v>
      </c>
      <c r="B144" s="1">
        <v>3.4039999999999999</v>
      </c>
      <c r="C144" s="5">
        <v>4</v>
      </c>
      <c r="D144" s="5">
        <v>143</v>
      </c>
    </row>
    <row r="145" spans="1:4" x14ac:dyDescent="0.25">
      <c r="A145" t="s">
        <v>253</v>
      </c>
      <c r="B145" s="1">
        <v>3.4009999999999998</v>
      </c>
      <c r="C145" s="5">
        <v>11</v>
      </c>
      <c r="D145" s="5">
        <v>144</v>
      </c>
    </row>
    <row r="146" spans="1:4" x14ac:dyDescent="0.25">
      <c r="A146" t="s">
        <v>93</v>
      </c>
      <c r="B146" s="1">
        <v>3.3889999999999998</v>
      </c>
      <c r="C146" s="5">
        <v>2</v>
      </c>
      <c r="D146" s="5">
        <v>145</v>
      </c>
    </row>
    <row r="147" spans="1:4" x14ac:dyDescent="0.25">
      <c r="A147" t="s">
        <v>95</v>
      </c>
      <c r="B147" s="1">
        <v>3.3889999999999998</v>
      </c>
      <c r="C147" s="5">
        <v>2</v>
      </c>
      <c r="D147" s="5">
        <v>146</v>
      </c>
    </row>
    <row r="148" spans="1:4" x14ac:dyDescent="0.25">
      <c r="A148" t="s">
        <v>356</v>
      </c>
      <c r="B148" s="1">
        <v>3.3879999999999999</v>
      </c>
      <c r="C148" s="5">
        <v>5</v>
      </c>
      <c r="D148" s="5">
        <v>147</v>
      </c>
    </row>
    <row r="149" spans="1:4" x14ac:dyDescent="0.25">
      <c r="A149" t="s">
        <v>91</v>
      </c>
      <c r="B149" s="1">
        <v>3.3860000000000001</v>
      </c>
      <c r="C149" s="5">
        <v>6</v>
      </c>
      <c r="D149" s="5">
        <v>148</v>
      </c>
    </row>
    <row r="150" spans="1:4" x14ac:dyDescent="0.25">
      <c r="A150" t="s">
        <v>493</v>
      </c>
      <c r="B150" s="1">
        <v>3.379</v>
      </c>
      <c r="C150" s="5">
        <v>1</v>
      </c>
      <c r="D150" s="5">
        <v>149</v>
      </c>
    </row>
    <row r="151" spans="1:4" x14ac:dyDescent="0.25">
      <c r="A151" t="s">
        <v>89</v>
      </c>
      <c r="B151" s="1">
        <v>3.379</v>
      </c>
      <c r="C151" s="5">
        <v>9</v>
      </c>
      <c r="D151" s="5">
        <v>150</v>
      </c>
    </row>
    <row r="152" spans="1:4" x14ac:dyDescent="0.25">
      <c r="A152" t="s">
        <v>343</v>
      </c>
      <c r="B152" s="1">
        <v>3.3740000000000001</v>
      </c>
      <c r="C152" s="5">
        <v>2</v>
      </c>
      <c r="D152" s="5">
        <v>151</v>
      </c>
    </row>
    <row r="153" spans="1:4" x14ac:dyDescent="0.25">
      <c r="A153" t="s">
        <v>401</v>
      </c>
      <c r="B153" s="1">
        <v>3.3679999999999999</v>
      </c>
      <c r="C153" s="5">
        <v>1</v>
      </c>
      <c r="D153" s="5">
        <v>152</v>
      </c>
    </row>
    <row r="154" spans="1:4" x14ac:dyDescent="0.25">
      <c r="A154" t="s">
        <v>76</v>
      </c>
      <c r="B154" s="1">
        <v>3.367</v>
      </c>
      <c r="C154" s="5">
        <v>30</v>
      </c>
      <c r="D154" s="5">
        <v>153</v>
      </c>
    </row>
    <row r="155" spans="1:4" x14ac:dyDescent="0.25">
      <c r="A155" t="s">
        <v>133</v>
      </c>
      <c r="B155" s="1">
        <v>3.36</v>
      </c>
      <c r="C155" s="5">
        <v>7</v>
      </c>
      <c r="D155" s="5">
        <v>154</v>
      </c>
    </row>
    <row r="156" spans="1:4" x14ac:dyDescent="0.25">
      <c r="A156" t="s">
        <v>127</v>
      </c>
      <c r="B156" s="1">
        <v>3.3559999999999999</v>
      </c>
      <c r="C156" s="5">
        <v>18</v>
      </c>
      <c r="D156" s="5">
        <v>155</v>
      </c>
    </row>
    <row r="157" spans="1:4" x14ac:dyDescent="0.25">
      <c r="A157" t="s">
        <v>434</v>
      </c>
      <c r="B157" s="1">
        <v>3.34</v>
      </c>
      <c r="C157" s="5">
        <v>4</v>
      </c>
      <c r="D157" s="5">
        <v>156</v>
      </c>
    </row>
    <row r="158" spans="1:4" x14ac:dyDescent="0.25">
      <c r="A158" t="s">
        <v>446</v>
      </c>
      <c r="B158" s="1">
        <v>3.3340000000000001</v>
      </c>
      <c r="C158" s="5">
        <v>2</v>
      </c>
      <c r="D158" s="5">
        <v>157</v>
      </c>
    </row>
    <row r="159" spans="1:4" x14ac:dyDescent="0.25">
      <c r="A159" t="s">
        <v>68</v>
      </c>
      <c r="B159" s="1">
        <v>3.3340000000000001</v>
      </c>
      <c r="C159" s="5">
        <v>7</v>
      </c>
      <c r="D159" s="5">
        <v>158</v>
      </c>
    </row>
    <row r="160" spans="1:4" x14ac:dyDescent="0.25">
      <c r="A160" t="s">
        <v>105</v>
      </c>
      <c r="B160" s="1">
        <v>3.3340000000000001</v>
      </c>
      <c r="C160" s="5">
        <v>9</v>
      </c>
      <c r="D160" s="5">
        <v>159</v>
      </c>
    </row>
    <row r="161" spans="1:4" x14ac:dyDescent="0.25">
      <c r="A161" t="s">
        <v>84</v>
      </c>
      <c r="B161" s="1">
        <v>3.3250000000000002</v>
      </c>
      <c r="C161" s="5">
        <v>15</v>
      </c>
      <c r="D161" s="5">
        <v>160</v>
      </c>
    </row>
    <row r="162" spans="1:4" x14ac:dyDescent="0.25">
      <c r="A162" t="s">
        <v>103</v>
      </c>
      <c r="B162" s="1">
        <v>3.3140000000000001</v>
      </c>
      <c r="C162" s="5">
        <v>6</v>
      </c>
      <c r="D162" s="5">
        <v>161</v>
      </c>
    </row>
    <row r="163" spans="1:4" x14ac:dyDescent="0.25">
      <c r="A163" t="s">
        <v>104</v>
      </c>
      <c r="B163" s="1">
        <v>3.31</v>
      </c>
      <c r="C163" s="5">
        <v>1</v>
      </c>
      <c r="D163" s="5">
        <v>162</v>
      </c>
    </row>
    <row r="164" spans="1:4" x14ac:dyDescent="0.25">
      <c r="A164" t="s">
        <v>447</v>
      </c>
      <c r="B164" s="1">
        <v>3.31</v>
      </c>
      <c r="C164" s="5">
        <v>1</v>
      </c>
      <c r="D164" s="5">
        <v>163</v>
      </c>
    </row>
    <row r="165" spans="1:4" x14ac:dyDescent="0.25">
      <c r="A165" t="s">
        <v>126</v>
      </c>
      <c r="B165" s="1">
        <v>3.3090000000000002</v>
      </c>
      <c r="C165" s="5">
        <v>46</v>
      </c>
      <c r="D165" s="5">
        <v>164</v>
      </c>
    </row>
    <row r="166" spans="1:4" x14ac:dyDescent="0.25">
      <c r="A166" t="s">
        <v>357</v>
      </c>
      <c r="B166" s="1">
        <v>3.294</v>
      </c>
      <c r="C166" s="5">
        <v>1</v>
      </c>
      <c r="D166" s="5">
        <v>165</v>
      </c>
    </row>
    <row r="167" spans="1:4" x14ac:dyDescent="0.25">
      <c r="A167" t="s">
        <v>171</v>
      </c>
      <c r="B167" s="1">
        <v>3.2850000000000001</v>
      </c>
      <c r="C167" s="5">
        <v>25</v>
      </c>
      <c r="D167" s="5">
        <v>166</v>
      </c>
    </row>
    <row r="168" spans="1:4" x14ac:dyDescent="0.25">
      <c r="A168" t="s">
        <v>188</v>
      </c>
      <c r="B168" s="1">
        <v>3.2839999999999998</v>
      </c>
      <c r="C168" s="5">
        <v>47</v>
      </c>
      <c r="D168" s="5">
        <v>167</v>
      </c>
    </row>
    <row r="169" spans="1:4" x14ac:dyDescent="0.25">
      <c r="A169" t="s">
        <v>358</v>
      </c>
      <c r="B169" s="1">
        <v>3.28</v>
      </c>
      <c r="C169" s="5">
        <v>1</v>
      </c>
      <c r="D169" s="5">
        <v>168</v>
      </c>
    </row>
    <row r="170" spans="1:4" x14ac:dyDescent="0.25">
      <c r="A170" t="s">
        <v>494</v>
      </c>
      <c r="B170" s="1">
        <v>3.278</v>
      </c>
      <c r="C170" s="5">
        <v>2</v>
      </c>
      <c r="D170" s="5">
        <v>169</v>
      </c>
    </row>
    <row r="171" spans="1:4" x14ac:dyDescent="0.25">
      <c r="A171" t="s">
        <v>344</v>
      </c>
      <c r="B171" s="1">
        <v>3.2759999999999998</v>
      </c>
      <c r="C171" s="5">
        <v>2</v>
      </c>
      <c r="D171" s="5">
        <v>170</v>
      </c>
    </row>
    <row r="172" spans="1:4" x14ac:dyDescent="0.25">
      <c r="A172" t="s">
        <v>94</v>
      </c>
      <c r="B172" s="1">
        <v>3.274</v>
      </c>
      <c r="C172" s="5">
        <v>7</v>
      </c>
      <c r="D172" s="5">
        <v>171</v>
      </c>
    </row>
    <row r="173" spans="1:4" x14ac:dyDescent="0.25">
      <c r="A173" t="s">
        <v>108</v>
      </c>
      <c r="B173" s="1">
        <v>3.2719999999999998</v>
      </c>
      <c r="C173" s="5">
        <v>12</v>
      </c>
      <c r="D173" s="5">
        <v>172</v>
      </c>
    </row>
    <row r="174" spans="1:4" x14ac:dyDescent="0.25">
      <c r="A174" t="s">
        <v>323</v>
      </c>
      <c r="B174" s="1">
        <v>3.266</v>
      </c>
      <c r="C174" s="5">
        <v>2</v>
      </c>
      <c r="D174" s="5">
        <v>173</v>
      </c>
    </row>
    <row r="175" spans="1:4" x14ac:dyDescent="0.25">
      <c r="A175" t="s">
        <v>164</v>
      </c>
      <c r="B175" s="1">
        <v>3.26</v>
      </c>
      <c r="C175" s="5">
        <v>9</v>
      </c>
      <c r="D175" s="5">
        <v>174</v>
      </c>
    </row>
    <row r="176" spans="1:4" x14ac:dyDescent="0.25">
      <c r="A176" t="s">
        <v>114</v>
      </c>
      <c r="B176" s="1">
        <v>3.2559999999999998</v>
      </c>
      <c r="C176" s="5">
        <v>1</v>
      </c>
      <c r="D176" s="5">
        <v>175</v>
      </c>
    </row>
    <row r="177" spans="1:4" x14ac:dyDescent="0.25">
      <c r="A177" t="s">
        <v>162</v>
      </c>
      <c r="B177" s="1">
        <v>3.254</v>
      </c>
      <c r="C177" s="5">
        <v>49</v>
      </c>
      <c r="D177" s="5">
        <v>176</v>
      </c>
    </row>
    <row r="178" spans="1:4" x14ac:dyDescent="0.25">
      <c r="A178" t="s">
        <v>252</v>
      </c>
      <c r="B178" s="1">
        <v>3.24</v>
      </c>
      <c r="C178" s="5">
        <v>2</v>
      </c>
      <c r="D178" s="5">
        <v>177</v>
      </c>
    </row>
    <row r="179" spans="1:4" x14ac:dyDescent="0.25">
      <c r="A179" t="s">
        <v>365</v>
      </c>
      <c r="B179" s="1">
        <v>3.24</v>
      </c>
      <c r="C179" s="5">
        <v>16</v>
      </c>
      <c r="D179" s="5">
        <v>178</v>
      </c>
    </row>
    <row r="180" spans="1:4" x14ac:dyDescent="0.25">
      <c r="A180" t="s">
        <v>96</v>
      </c>
      <c r="B180" s="1">
        <v>3.2370000000000001</v>
      </c>
      <c r="C180" s="5">
        <v>29</v>
      </c>
      <c r="D180" s="5">
        <v>179</v>
      </c>
    </row>
    <row r="181" spans="1:4" x14ac:dyDescent="0.25">
      <c r="A181" t="s">
        <v>305</v>
      </c>
      <c r="B181" s="1">
        <v>3.2320000000000002</v>
      </c>
      <c r="C181" s="5">
        <v>14</v>
      </c>
      <c r="D181" s="5">
        <v>180</v>
      </c>
    </row>
    <row r="182" spans="1:4" x14ac:dyDescent="0.25">
      <c r="A182" t="s">
        <v>132</v>
      </c>
      <c r="B182" s="1">
        <v>3.2309999999999999</v>
      </c>
      <c r="C182" s="5">
        <v>21</v>
      </c>
      <c r="D182" s="5">
        <v>181</v>
      </c>
    </row>
    <row r="183" spans="1:4" x14ac:dyDescent="0.25">
      <c r="A183" t="s">
        <v>116</v>
      </c>
      <c r="B183" s="1">
        <v>3.23</v>
      </c>
      <c r="C183" s="5">
        <v>7</v>
      </c>
      <c r="D183" s="5">
        <v>182</v>
      </c>
    </row>
    <row r="184" spans="1:4" x14ac:dyDescent="0.25">
      <c r="A184" t="s">
        <v>101</v>
      </c>
      <c r="B184" s="1">
        <v>3.2290000000000001</v>
      </c>
      <c r="C184" s="5">
        <v>28</v>
      </c>
      <c r="D184" s="5">
        <v>183</v>
      </c>
    </row>
    <row r="185" spans="1:4" x14ac:dyDescent="0.25">
      <c r="A185" t="s">
        <v>495</v>
      </c>
      <c r="B185" s="1">
        <v>3.2120000000000002</v>
      </c>
      <c r="C185" s="5">
        <v>5</v>
      </c>
      <c r="D185" s="5">
        <v>184</v>
      </c>
    </row>
    <row r="186" spans="1:4" x14ac:dyDescent="0.25">
      <c r="A186" t="s">
        <v>156</v>
      </c>
      <c r="B186" s="1">
        <v>3.2120000000000002</v>
      </c>
      <c r="C186" s="5">
        <v>5</v>
      </c>
      <c r="D186" s="5">
        <v>185</v>
      </c>
    </row>
    <row r="187" spans="1:4" x14ac:dyDescent="0.25">
      <c r="A187" t="s">
        <v>448</v>
      </c>
      <c r="B187" s="1">
        <v>3.2120000000000002</v>
      </c>
      <c r="C187" s="5">
        <v>1</v>
      </c>
      <c r="D187" s="5">
        <v>186</v>
      </c>
    </row>
    <row r="188" spans="1:4" x14ac:dyDescent="0.25">
      <c r="A188" t="s">
        <v>449</v>
      </c>
      <c r="B188" s="1">
        <v>3.2120000000000002</v>
      </c>
      <c r="C188" s="5">
        <v>1</v>
      </c>
      <c r="D188" s="5">
        <v>187</v>
      </c>
    </row>
    <row r="189" spans="1:4" x14ac:dyDescent="0.25">
      <c r="A189" t="s">
        <v>118</v>
      </c>
      <c r="B189" s="1">
        <v>3.2090000000000001</v>
      </c>
      <c r="C189" s="5">
        <v>2</v>
      </c>
      <c r="D189" s="5">
        <v>188</v>
      </c>
    </row>
    <row r="190" spans="1:4" x14ac:dyDescent="0.25">
      <c r="A190" t="s">
        <v>119</v>
      </c>
      <c r="B190" s="1">
        <v>3.2080000000000002</v>
      </c>
      <c r="C190" s="5">
        <v>1</v>
      </c>
      <c r="D190" s="5">
        <v>189</v>
      </c>
    </row>
    <row r="191" spans="1:4" x14ac:dyDescent="0.25">
      <c r="A191" t="s">
        <v>272</v>
      </c>
      <c r="B191" s="1">
        <v>3.206</v>
      </c>
      <c r="C191" s="5">
        <v>15</v>
      </c>
      <c r="D191" s="5">
        <v>190</v>
      </c>
    </row>
    <row r="192" spans="1:4" x14ac:dyDescent="0.25">
      <c r="A192" t="s">
        <v>271</v>
      </c>
      <c r="B192" s="1">
        <v>3.2040000000000002</v>
      </c>
      <c r="C192" s="5">
        <v>2</v>
      </c>
      <c r="D192" s="5">
        <v>191</v>
      </c>
    </row>
    <row r="193" spans="1:4" x14ac:dyDescent="0.25">
      <c r="A193" t="s">
        <v>273</v>
      </c>
      <c r="B193" s="1">
        <v>3.2040000000000002</v>
      </c>
      <c r="C193" s="5">
        <v>1</v>
      </c>
      <c r="D193" s="5">
        <v>192</v>
      </c>
    </row>
    <row r="194" spans="1:4" x14ac:dyDescent="0.25">
      <c r="A194" t="s">
        <v>435</v>
      </c>
      <c r="B194" s="1">
        <v>3.2010000000000001</v>
      </c>
      <c r="C194" s="5">
        <v>4</v>
      </c>
      <c r="D194" s="5">
        <v>193</v>
      </c>
    </row>
    <row r="195" spans="1:4" x14ac:dyDescent="0.25">
      <c r="A195" t="s">
        <v>306</v>
      </c>
      <c r="B195" s="1">
        <v>3.1960000000000002</v>
      </c>
      <c r="C195" s="5">
        <v>3</v>
      </c>
      <c r="D195" s="5">
        <v>194</v>
      </c>
    </row>
    <row r="196" spans="1:4" x14ac:dyDescent="0.25">
      <c r="A196" t="s">
        <v>404</v>
      </c>
      <c r="B196" s="1">
        <v>3.1960000000000002</v>
      </c>
      <c r="C196" s="5">
        <v>1</v>
      </c>
      <c r="D196" s="5">
        <v>195</v>
      </c>
    </row>
    <row r="197" spans="1:4" x14ac:dyDescent="0.25">
      <c r="A197" t="s">
        <v>274</v>
      </c>
      <c r="B197" s="1">
        <v>3.1949999999999998</v>
      </c>
      <c r="C197" s="5">
        <v>9</v>
      </c>
      <c r="D197" s="5">
        <v>196</v>
      </c>
    </row>
    <row r="198" spans="1:4" x14ac:dyDescent="0.25">
      <c r="A198" t="s">
        <v>107</v>
      </c>
      <c r="B198" s="1">
        <v>3.1920000000000002</v>
      </c>
      <c r="C198" s="5">
        <v>4</v>
      </c>
      <c r="D198" s="5">
        <v>197</v>
      </c>
    </row>
    <row r="199" spans="1:4" x14ac:dyDescent="0.25">
      <c r="A199" t="s">
        <v>97</v>
      </c>
      <c r="B199" s="1">
        <v>3.1850000000000001</v>
      </c>
      <c r="C199" s="5">
        <v>30</v>
      </c>
      <c r="D199" s="5">
        <v>198</v>
      </c>
    </row>
    <row r="200" spans="1:4" x14ac:dyDescent="0.25">
      <c r="A200" t="s">
        <v>121</v>
      </c>
      <c r="B200" s="1">
        <v>3.1840000000000002</v>
      </c>
      <c r="C200" s="5">
        <v>1</v>
      </c>
      <c r="D200" s="5">
        <v>199</v>
      </c>
    </row>
    <row r="201" spans="1:4" x14ac:dyDescent="0.25">
      <c r="A201" t="s">
        <v>330</v>
      </c>
      <c r="B201" s="1">
        <v>3.1840000000000002</v>
      </c>
      <c r="C201" s="5">
        <v>3</v>
      </c>
      <c r="D201" s="5">
        <v>200</v>
      </c>
    </row>
    <row r="202" spans="1:4" x14ac:dyDescent="0.25">
      <c r="A202" t="s">
        <v>122</v>
      </c>
      <c r="B202" s="1">
        <v>3.18</v>
      </c>
      <c r="C202" s="5">
        <v>1</v>
      </c>
      <c r="D202" s="5">
        <v>201</v>
      </c>
    </row>
    <row r="203" spans="1:4" x14ac:dyDescent="0.25">
      <c r="A203" t="s">
        <v>138</v>
      </c>
      <c r="B203" s="1">
        <v>3.1779999999999999</v>
      </c>
      <c r="C203" s="5">
        <v>5</v>
      </c>
      <c r="D203" s="5">
        <v>202</v>
      </c>
    </row>
    <row r="204" spans="1:4" x14ac:dyDescent="0.25">
      <c r="A204" t="s">
        <v>124</v>
      </c>
      <c r="B204" s="1">
        <v>3.1739999999999999</v>
      </c>
      <c r="C204" s="5">
        <v>1</v>
      </c>
      <c r="D204" s="5">
        <v>203</v>
      </c>
    </row>
    <row r="205" spans="1:4" x14ac:dyDescent="0.25">
      <c r="A205" t="s">
        <v>405</v>
      </c>
      <c r="B205" s="1">
        <v>3.1659999999999999</v>
      </c>
      <c r="C205" s="5">
        <v>2</v>
      </c>
      <c r="D205" s="5">
        <v>204</v>
      </c>
    </row>
    <row r="206" spans="1:4" x14ac:dyDescent="0.25">
      <c r="A206" t="s">
        <v>99</v>
      </c>
      <c r="B206" s="1">
        <v>3.1619999999999999</v>
      </c>
      <c r="C206" s="5">
        <v>17</v>
      </c>
      <c r="D206" s="5">
        <v>205</v>
      </c>
    </row>
    <row r="207" spans="1:4" x14ac:dyDescent="0.25">
      <c r="A207" t="s">
        <v>128</v>
      </c>
      <c r="B207" s="1">
        <v>3.1560000000000001</v>
      </c>
      <c r="C207" s="5">
        <v>2</v>
      </c>
      <c r="D207" s="5">
        <v>206</v>
      </c>
    </row>
    <row r="208" spans="1:4" x14ac:dyDescent="0.25">
      <c r="A208" t="s">
        <v>100</v>
      </c>
      <c r="B208" s="1">
        <v>3.153</v>
      </c>
      <c r="C208" s="5">
        <v>30</v>
      </c>
      <c r="D208" s="5">
        <v>207</v>
      </c>
    </row>
    <row r="209" spans="1:4" x14ac:dyDescent="0.25">
      <c r="A209" t="s">
        <v>129</v>
      </c>
      <c r="B209" s="1">
        <v>3.1440000000000001</v>
      </c>
      <c r="C209" s="5">
        <v>3</v>
      </c>
      <c r="D209" s="5">
        <v>208</v>
      </c>
    </row>
    <row r="210" spans="1:4" x14ac:dyDescent="0.25">
      <c r="A210" t="s">
        <v>151</v>
      </c>
      <c r="B210" s="1">
        <v>3.1440000000000001</v>
      </c>
      <c r="C210" s="5">
        <v>2</v>
      </c>
      <c r="D210" s="5">
        <v>209</v>
      </c>
    </row>
    <row r="211" spans="1:4" x14ac:dyDescent="0.25">
      <c r="A211" t="s">
        <v>131</v>
      </c>
      <c r="B211" s="1">
        <v>3.1389999999999998</v>
      </c>
      <c r="C211" s="5">
        <v>2</v>
      </c>
      <c r="D211" s="5">
        <v>210</v>
      </c>
    </row>
    <row r="212" spans="1:4" x14ac:dyDescent="0.25">
      <c r="A212" t="s">
        <v>110</v>
      </c>
      <c r="B212" s="1">
        <v>3.1379999999999999</v>
      </c>
      <c r="C212" s="5">
        <v>21</v>
      </c>
      <c r="D212" s="5">
        <v>211</v>
      </c>
    </row>
    <row r="213" spans="1:4" x14ac:dyDescent="0.25">
      <c r="A213" t="s">
        <v>406</v>
      </c>
      <c r="B213" s="1">
        <v>3.1360000000000001</v>
      </c>
      <c r="C213" s="5">
        <v>1</v>
      </c>
      <c r="D213" s="5">
        <v>212</v>
      </c>
    </row>
    <row r="214" spans="1:4" x14ac:dyDescent="0.25">
      <c r="A214" t="s">
        <v>275</v>
      </c>
      <c r="B214" s="1">
        <v>3.1360000000000001</v>
      </c>
      <c r="C214" s="5">
        <v>3</v>
      </c>
      <c r="D214" s="5">
        <v>213</v>
      </c>
    </row>
    <row r="215" spans="1:4" x14ac:dyDescent="0.25">
      <c r="A215" t="s">
        <v>454</v>
      </c>
      <c r="B215" s="1">
        <v>3.133</v>
      </c>
      <c r="C215" s="5">
        <v>7</v>
      </c>
      <c r="D215" s="5">
        <v>214</v>
      </c>
    </row>
    <row r="216" spans="1:4" x14ac:dyDescent="0.25">
      <c r="A216" t="s">
        <v>301</v>
      </c>
      <c r="B216" s="1">
        <v>3.1269999999999998</v>
      </c>
      <c r="C216" s="5">
        <v>1</v>
      </c>
      <c r="D216" s="5">
        <v>215</v>
      </c>
    </row>
    <row r="217" spans="1:4" x14ac:dyDescent="0.25">
      <c r="A217" t="s">
        <v>113</v>
      </c>
      <c r="B217" s="1">
        <v>3.1240000000000001</v>
      </c>
      <c r="C217" s="5">
        <v>36</v>
      </c>
      <c r="D217" s="5">
        <v>216</v>
      </c>
    </row>
    <row r="218" spans="1:4" x14ac:dyDescent="0.25">
      <c r="A218" t="s">
        <v>150</v>
      </c>
      <c r="B218" s="1">
        <v>3.1219999999999999</v>
      </c>
      <c r="C218" s="5">
        <v>30</v>
      </c>
      <c r="D218" s="5">
        <v>217</v>
      </c>
    </row>
    <row r="219" spans="1:4" x14ac:dyDescent="0.25">
      <c r="A219" t="s">
        <v>157</v>
      </c>
      <c r="B219" s="1">
        <v>3.121</v>
      </c>
      <c r="C219" s="5">
        <v>5</v>
      </c>
      <c r="D219" s="5">
        <v>218</v>
      </c>
    </row>
    <row r="220" spans="1:4" x14ac:dyDescent="0.25">
      <c r="A220" t="s">
        <v>311</v>
      </c>
      <c r="B220" s="1">
        <v>3.12</v>
      </c>
      <c r="C220" s="5">
        <v>3</v>
      </c>
      <c r="D220" s="5">
        <v>219</v>
      </c>
    </row>
    <row r="221" spans="1:4" x14ac:dyDescent="0.25">
      <c r="A221" t="s">
        <v>407</v>
      </c>
      <c r="B221" s="1">
        <v>3.12</v>
      </c>
      <c r="C221" s="5">
        <v>2</v>
      </c>
      <c r="D221" s="5">
        <v>220</v>
      </c>
    </row>
    <row r="222" spans="1:4" x14ac:dyDescent="0.25">
      <c r="A222" t="s">
        <v>450</v>
      </c>
      <c r="B222" s="1">
        <v>3.1120000000000001</v>
      </c>
      <c r="C222" s="5">
        <v>5</v>
      </c>
      <c r="D222" s="5">
        <v>221</v>
      </c>
    </row>
    <row r="223" spans="1:4" x14ac:dyDescent="0.25">
      <c r="A223" t="s">
        <v>111</v>
      </c>
      <c r="B223" s="1">
        <v>3.1120000000000001</v>
      </c>
      <c r="C223" s="5">
        <v>35</v>
      </c>
      <c r="D223" s="5">
        <v>222</v>
      </c>
    </row>
    <row r="224" spans="1:4" x14ac:dyDescent="0.25">
      <c r="A224" t="s">
        <v>134</v>
      </c>
      <c r="B224" s="1">
        <v>3.11</v>
      </c>
      <c r="C224" s="5">
        <v>8</v>
      </c>
      <c r="D224" s="5">
        <v>223</v>
      </c>
    </row>
    <row r="225" spans="1:4" x14ac:dyDescent="0.25">
      <c r="A225" t="s">
        <v>141</v>
      </c>
      <c r="B225" s="1">
        <v>3.1070000000000002</v>
      </c>
      <c r="C225" s="5">
        <v>3</v>
      </c>
      <c r="D225" s="5">
        <v>224</v>
      </c>
    </row>
    <row r="226" spans="1:4" x14ac:dyDescent="0.25">
      <c r="A226" t="s">
        <v>115</v>
      </c>
      <c r="B226" s="1">
        <v>3.1059999999999999</v>
      </c>
      <c r="C226" s="5">
        <v>21</v>
      </c>
      <c r="D226" s="5">
        <v>225</v>
      </c>
    </row>
    <row r="227" spans="1:4" x14ac:dyDescent="0.25">
      <c r="A227" t="s">
        <v>137</v>
      </c>
      <c r="B227" s="1">
        <v>3.1040000000000001</v>
      </c>
      <c r="C227" s="5">
        <v>15</v>
      </c>
      <c r="D227" s="5">
        <v>226</v>
      </c>
    </row>
    <row r="228" spans="1:4" x14ac:dyDescent="0.25">
      <c r="A228" t="s">
        <v>308</v>
      </c>
      <c r="B228" s="1">
        <v>3.1019999999999999</v>
      </c>
      <c r="C228" s="5">
        <v>4</v>
      </c>
      <c r="D228" s="5">
        <v>227</v>
      </c>
    </row>
    <row r="229" spans="1:4" x14ac:dyDescent="0.25">
      <c r="A229" t="s">
        <v>140</v>
      </c>
      <c r="B229" s="1">
        <v>3.0960000000000001</v>
      </c>
      <c r="C229" s="5">
        <v>1</v>
      </c>
      <c r="D229" s="5">
        <v>228</v>
      </c>
    </row>
    <row r="230" spans="1:4" x14ac:dyDescent="0.25">
      <c r="A230" t="s">
        <v>451</v>
      </c>
      <c r="B230" s="1">
        <v>3.0939999999999999</v>
      </c>
      <c r="C230" s="5">
        <v>1</v>
      </c>
      <c r="D230" s="5">
        <v>229</v>
      </c>
    </row>
    <row r="231" spans="1:4" x14ac:dyDescent="0.25">
      <c r="A231" t="s">
        <v>371</v>
      </c>
      <c r="B231" s="1">
        <v>3.0920000000000001</v>
      </c>
      <c r="C231" s="5">
        <v>5</v>
      </c>
      <c r="D231" s="5">
        <v>230</v>
      </c>
    </row>
    <row r="232" spans="1:4" x14ac:dyDescent="0.25">
      <c r="A232" t="s">
        <v>148</v>
      </c>
      <c r="B232" s="1">
        <v>3.0859999999999999</v>
      </c>
      <c r="C232" s="5">
        <v>5</v>
      </c>
      <c r="D232" s="5">
        <v>231</v>
      </c>
    </row>
    <row r="233" spans="1:4" x14ac:dyDescent="0.25">
      <c r="A233" t="s">
        <v>497</v>
      </c>
      <c r="B233" s="1">
        <v>3.0859999999999999</v>
      </c>
      <c r="C233" s="5">
        <v>5</v>
      </c>
      <c r="D233" s="5">
        <v>232</v>
      </c>
    </row>
    <row r="234" spans="1:4" x14ac:dyDescent="0.25">
      <c r="A234" t="s">
        <v>160</v>
      </c>
      <c r="B234" s="1">
        <v>3.081</v>
      </c>
      <c r="C234" s="5">
        <v>23</v>
      </c>
      <c r="D234" s="5">
        <v>233</v>
      </c>
    </row>
    <row r="235" spans="1:4" x14ac:dyDescent="0.25">
      <c r="A235" t="s">
        <v>144</v>
      </c>
      <c r="B235" s="1">
        <v>3.0779999999999998</v>
      </c>
      <c r="C235" s="5">
        <v>1</v>
      </c>
      <c r="D235" s="5">
        <v>234</v>
      </c>
    </row>
    <row r="236" spans="1:4" x14ac:dyDescent="0.25">
      <c r="A236" t="s">
        <v>336</v>
      </c>
      <c r="B236" s="1">
        <v>3.0760000000000001</v>
      </c>
      <c r="C236" s="5">
        <v>1</v>
      </c>
      <c r="D236" s="5">
        <v>235</v>
      </c>
    </row>
    <row r="237" spans="1:4" x14ac:dyDescent="0.25">
      <c r="A237" t="s">
        <v>408</v>
      </c>
      <c r="B237" s="1">
        <v>3.0750000000000002</v>
      </c>
      <c r="C237" s="5">
        <v>2</v>
      </c>
      <c r="D237" s="5">
        <v>236</v>
      </c>
    </row>
    <row r="238" spans="1:4" x14ac:dyDescent="0.25">
      <c r="A238" t="s">
        <v>496</v>
      </c>
      <c r="B238" s="1">
        <v>3.0739999999999998</v>
      </c>
      <c r="C238" s="5">
        <v>1</v>
      </c>
      <c r="D238" s="5">
        <v>237</v>
      </c>
    </row>
    <row r="239" spans="1:4" x14ac:dyDescent="0.25">
      <c r="A239" t="s">
        <v>145</v>
      </c>
      <c r="B239" s="1">
        <v>3.0680000000000001</v>
      </c>
      <c r="C239" s="5">
        <v>1</v>
      </c>
      <c r="D239" s="5">
        <v>238</v>
      </c>
    </row>
    <row r="240" spans="1:4" x14ac:dyDescent="0.25">
      <c r="A240" t="s">
        <v>409</v>
      </c>
      <c r="B240" s="1">
        <v>3.0659999999999998</v>
      </c>
      <c r="C240" s="5">
        <v>1</v>
      </c>
      <c r="D240" s="5">
        <v>239</v>
      </c>
    </row>
    <row r="241" spans="1:4" x14ac:dyDescent="0.25">
      <c r="A241" t="s">
        <v>146</v>
      </c>
      <c r="B241" s="1">
        <v>3.0640000000000001</v>
      </c>
      <c r="C241" s="5">
        <v>1</v>
      </c>
      <c r="D241" s="5">
        <v>240</v>
      </c>
    </row>
    <row r="242" spans="1:4" x14ac:dyDescent="0.25">
      <c r="A242" t="s">
        <v>410</v>
      </c>
      <c r="B242" s="1">
        <v>3.0640000000000001</v>
      </c>
      <c r="C242" s="5">
        <v>1</v>
      </c>
      <c r="D242" s="5">
        <v>241</v>
      </c>
    </row>
    <row r="243" spans="1:4" x14ac:dyDescent="0.25">
      <c r="A243" t="s">
        <v>340</v>
      </c>
      <c r="B243" s="1">
        <v>3.0579999999999998</v>
      </c>
      <c r="C243" s="5">
        <v>3</v>
      </c>
      <c r="D243" s="5">
        <v>242</v>
      </c>
    </row>
    <row r="244" spans="1:4" x14ac:dyDescent="0.25">
      <c r="A244" t="s">
        <v>195</v>
      </c>
      <c r="B244" s="1">
        <v>3.056</v>
      </c>
      <c r="C244" s="5">
        <v>19</v>
      </c>
      <c r="D244" s="5">
        <v>243</v>
      </c>
    </row>
    <row r="245" spans="1:4" x14ac:dyDescent="0.25">
      <c r="A245" t="s">
        <v>199</v>
      </c>
      <c r="B245" s="1">
        <v>3.056</v>
      </c>
      <c r="C245" s="5">
        <v>10</v>
      </c>
      <c r="D245" s="5">
        <v>244</v>
      </c>
    </row>
    <row r="246" spans="1:4" x14ac:dyDescent="0.25">
      <c r="A246" t="s">
        <v>153</v>
      </c>
      <c r="B246" s="1">
        <v>3.056</v>
      </c>
      <c r="C246" s="5">
        <v>5</v>
      </c>
      <c r="D246" s="5">
        <v>245</v>
      </c>
    </row>
    <row r="247" spans="1:4" x14ac:dyDescent="0.25">
      <c r="A247" t="s">
        <v>149</v>
      </c>
      <c r="B247" s="1">
        <v>3.056</v>
      </c>
      <c r="C247" s="5">
        <v>2</v>
      </c>
      <c r="D247" s="5">
        <v>246</v>
      </c>
    </row>
    <row r="248" spans="1:4" x14ac:dyDescent="0.25">
      <c r="A248" t="s">
        <v>362</v>
      </c>
      <c r="B248" s="1">
        <v>3.052</v>
      </c>
      <c r="C248" s="5">
        <v>1</v>
      </c>
      <c r="D248" s="5">
        <v>247</v>
      </c>
    </row>
    <row r="249" spans="1:4" x14ac:dyDescent="0.25">
      <c r="A249" t="s">
        <v>147</v>
      </c>
      <c r="B249" s="1">
        <v>3.0489999999999999</v>
      </c>
      <c r="C249" s="5">
        <v>39</v>
      </c>
      <c r="D249" s="5">
        <v>248</v>
      </c>
    </row>
    <row r="250" spans="1:4" x14ac:dyDescent="0.25">
      <c r="A250" t="s">
        <v>411</v>
      </c>
      <c r="B250" s="1">
        <v>3.0470000000000002</v>
      </c>
      <c r="C250" s="5">
        <v>3</v>
      </c>
      <c r="D250" s="5">
        <v>249</v>
      </c>
    </row>
    <row r="251" spans="1:4" x14ac:dyDescent="0.25">
      <c r="A251" t="s">
        <v>452</v>
      </c>
      <c r="B251" s="1">
        <v>3.036</v>
      </c>
      <c r="C251" s="5">
        <v>1</v>
      </c>
      <c r="D251" s="5">
        <v>250</v>
      </c>
    </row>
    <row r="252" spans="1:4" x14ac:dyDescent="0.25">
      <c r="A252" t="s">
        <v>415</v>
      </c>
      <c r="B252" s="1">
        <v>3.032</v>
      </c>
      <c r="C252" s="5">
        <v>6</v>
      </c>
      <c r="D252" s="5">
        <v>251</v>
      </c>
    </row>
    <row r="253" spans="1:4" x14ac:dyDescent="0.25">
      <c r="A253" t="s">
        <v>302</v>
      </c>
      <c r="B253" s="1">
        <v>3.0310000000000001</v>
      </c>
      <c r="C253" s="5">
        <v>31</v>
      </c>
      <c r="D253" s="5">
        <v>252</v>
      </c>
    </row>
    <row r="254" spans="1:4" x14ac:dyDescent="0.25">
      <c r="A254" t="s">
        <v>359</v>
      </c>
      <c r="B254" s="1">
        <v>3.03</v>
      </c>
      <c r="C254" s="5">
        <v>6</v>
      </c>
      <c r="D254" s="5">
        <v>253</v>
      </c>
    </row>
    <row r="255" spans="1:4" x14ac:dyDescent="0.25">
      <c r="A255" t="s">
        <v>154</v>
      </c>
      <c r="B255" s="1">
        <v>3.0289999999999999</v>
      </c>
      <c r="C255" s="5">
        <v>18</v>
      </c>
      <c r="D255" s="5">
        <v>254</v>
      </c>
    </row>
    <row r="256" spans="1:4" x14ac:dyDescent="0.25">
      <c r="A256" t="s">
        <v>232</v>
      </c>
      <c r="B256" s="1">
        <v>3.028</v>
      </c>
      <c r="C256" s="5">
        <v>23</v>
      </c>
      <c r="D256" s="5">
        <v>255</v>
      </c>
    </row>
    <row r="257" spans="1:4" x14ac:dyDescent="0.25">
      <c r="A257" t="s">
        <v>112</v>
      </c>
      <c r="B257" s="1">
        <v>3.0190000000000001</v>
      </c>
      <c r="C257" s="5">
        <v>19</v>
      </c>
      <c r="D257" s="5">
        <v>256</v>
      </c>
    </row>
    <row r="258" spans="1:4" x14ac:dyDescent="0.25">
      <c r="A258" t="s">
        <v>532</v>
      </c>
      <c r="B258" s="1">
        <v>3.0169999999999999</v>
      </c>
      <c r="C258" s="5">
        <v>1</v>
      </c>
      <c r="D258" s="5">
        <v>257</v>
      </c>
    </row>
    <row r="259" spans="1:4" x14ac:dyDescent="0.25">
      <c r="A259" t="s">
        <v>363</v>
      </c>
      <c r="B259" s="1">
        <v>3.0129999999999999</v>
      </c>
      <c r="C259" s="5">
        <v>2</v>
      </c>
      <c r="D259" s="5">
        <v>258</v>
      </c>
    </row>
    <row r="260" spans="1:4" x14ac:dyDescent="0.25">
      <c r="A260" t="s">
        <v>135</v>
      </c>
      <c r="B260" s="1">
        <v>3.0049999999999999</v>
      </c>
      <c r="C260" s="5">
        <v>13</v>
      </c>
      <c r="D260" s="5">
        <v>259</v>
      </c>
    </row>
    <row r="261" spans="1:4" x14ac:dyDescent="0.25">
      <c r="A261" t="s">
        <v>282</v>
      </c>
      <c r="B261" s="1">
        <v>3.0019999999999998</v>
      </c>
      <c r="C261" s="5">
        <v>20</v>
      </c>
      <c r="D261" s="5">
        <v>260</v>
      </c>
    </row>
    <row r="262" spans="1:4" x14ac:dyDescent="0.25">
      <c r="A262" t="s">
        <v>158</v>
      </c>
      <c r="B262" s="1">
        <v>3.0019999999999998</v>
      </c>
      <c r="C262" s="5">
        <v>1</v>
      </c>
      <c r="D262" s="5">
        <v>261</v>
      </c>
    </row>
    <row r="263" spans="1:4" x14ac:dyDescent="0.25">
      <c r="A263" t="s">
        <v>412</v>
      </c>
      <c r="B263" s="1">
        <v>3.0019999999999998</v>
      </c>
      <c r="C263" s="5">
        <v>1</v>
      </c>
      <c r="D263" s="5">
        <v>262</v>
      </c>
    </row>
    <row r="264" spans="1:4" x14ac:dyDescent="0.25">
      <c r="A264" t="s">
        <v>514</v>
      </c>
      <c r="B264" s="1">
        <v>3.0009999999999999</v>
      </c>
      <c r="C264" s="5">
        <v>2</v>
      </c>
      <c r="D264" s="5">
        <v>263</v>
      </c>
    </row>
    <row r="265" spans="1:4" x14ac:dyDescent="0.25">
      <c r="A265" t="s">
        <v>270</v>
      </c>
      <c r="B265" s="1">
        <v>2.9990000000000001</v>
      </c>
      <c r="C265" s="5">
        <v>12</v>
      </c>
      <c r="D265" s="5">
        <v>264</v>
      </c>
    </row>
    <row r="266" spans="1:4" x14ac:dyDescent="0.25">
      <c r="A266" t="s">
        <v>498</v>
      </c>
      <c r="B266" s="1">
        <v>2.9910000000000001</v>
      </c>
      <c r="C266" s="5">
        <v>4</v>
      </c>
      <c r="D266" s="5">
        <v>265</v>
      </c>
    </row>
    <row r="267" spans="1:4" x14ac:dyDescent="0.25">
      <c r="A267" t="s">
        <v>303</v>
      </c>
      <c r="B267" s="1">
        <v>2.99</v>
      </c>
      <c r="C267" s="5">
        <v>5</v>
      </c>
      <c r="D267" s="5">
        <v>266</v>
      </c>
    </row>
    <row r="268" spans="1:4" x14ac:dyDescent="0.25">
      <c r="A268" t="s">
        <v>152</v>
      </c>
      <c r="B268" s="1">
        <v>2.988</v>
      </c>
      <c r="C268" s="5">
        <v>3</v>
      </c>
      <c r="D268" s="5">
        <v>267</v>
      </c>
    </row>
    <row r="269" spans="1:4" x14ac:dyDescent="0.25">
      <c r="A269" t="s">
        <v>161</v>
      </c>
      <c r="B269" s="1">
        <v>2.988</v>
      </c>
      <c r="C269" s="5">
        <v>1</v>
      </c>
      <c r="D269" s="5">
        <v>268</v>
      </c>
    </row>
    <row r="270" spans="1:4" x14ac:dyDescent="0.25">
      <c r="A270" t="s">
        <v>163</v>
      </c>
      <c r="B270" s="1">
        <v>2.9820000000000002</v>
      </c>
      <c r="C270" s="5">
        <v>1</v>
      </c>
      <c r="D270" s="5">
        <v>269</v>
      </c>
    </row>
    <row r="271" spans="1:4" x14ac:dyDescent="0.25">
      <c r="A271" t="s">
        <v>364</v>
      </c>
      <c r="B271" s="1">
        <v>2.976</v>
      </c>
      <c r="C271" s="5">
        <v>1</v>
      </c>
      <c r="D271" s="5">
        <v>270</v>
      </c>
    </row>
    <row r="272" spans="1:4" x14ac:dyDescent="0.25">
      <c r="A272" t="s">
        <v>413</v>
      </c>
      <c r="B272" s="1">
        <v>2.976</v>
      </c>
      <c r="C272" s="5">
        <v>2</v>
      </c>
      <c r="D272" s="5">
        <v>271</v>
      </c>
    </row>
    <row r="273" spans="1:4" x14ac:dyDescent="0.25">
      <c r="A273" t="s">
        <v>183</v>
      </c>
      <c r="B273" s="1">
        <v>2.9729999999999999</v>
      </c>
      <c r="C273" s="5">
        <v>8</v>
      </c>
      <c r="D273" s="5">
        <v>272</v>
      </c>
    </row>
    <row r="274" spans="1:4" x14ac:dyDescent="0.25">
      <c r="A274" t="s">
        <v>277</v>
      </c>
      <c r="B274" s="1">
        <v>2.97</v>
      </c>
      <c r="C274" s="5">
        <v>2</v>
      </c>
      <c r="D274" s="5">
        <v>273</v>
      </c>
    </row>
    <row r="275" spans="1:4" x14ac:dyDescent="0.25">
      <c r="A275" t="s">
        <v>168</v>
      </c>
      <c r="B275" s="1">
        <v>2.968</v>
      </c>
      <c r="C275" s="5">
        <v>2</v>
      </c>
      <c r="D275" s="5">
        <v>274</v>
      </c>
    </row>
    <row r="276" spans="1:4" x14ac:dyDescent="0.25">
      <c r="A276" t="s">
        <v>167</v>
      </c>
      <c r="B276" s="1">
        <v>2.968</v>
      </c>
      <c r="C276" s="5">
        <v>1</v>
      </c>
      <c r="D276" s="5">
        <v>275</v>
      </c>
    </row>
    <row r="277" spans="1:4" x14ac:dyDescent="0.25">
      <c r="A277" t="s">
        <v>285</v>
      </c>
      <c r="B277" s="1">
        <v>2.968</v>
      </c>
      <c r="C277" s="5">
        <v>6</v>
      </c>
      <c r="D277" s="5">
        <v>276</v>
      </c>
    </row>
    <row r="278" spans="1:4" x14ac:dyDescent="0.25">
      <c r="A278" t="s">
        <v>237</v>
      </c>
      <c r="B278" s="1">
        <v>2.9670000000000001</v>
      </c>
      <c r="C278" s="5">
        <v>17</v>
      </c>
      <c r="D278" s="5">
        <v>277</v>
      </c>
    </row>
    <row r="279" spans="1:4" x14ac:dyDescent="0.25">
      <c r="A279" t="s">
        <v>143</v>
      </c>
      <c r="B279" s="1">
        <v>2.9660000000000002</v>
      </c>
      <c r="C279" s="5">
        <v>5</v>
      </c>
      <c r="D279" s="5">
        <v>278</v>
      </c>
    </row>
    <row r="280" spans="1:4" x14ac:dyDescent="0.25">
      <c r="A280" t="s">
        <v>320</v>
      </c>
      <c r="B280" s="1">
        <v>2.9660000000000002</v>
      </c>
      <c r="C280" s="5">
        <v>4</v>
      </c>
      <c r="D280" s="5">
        <v>279</v>
      </c>
    </row>
    <row r="281" spans="1:4" x14ac:dyDescent="0.25">
      <c r="A281" t="s">
        <v>337</v>
      </c>
      <c r="B281" s="1">
        <v>2.9660000000000002</v>
      </c>
      <c r="C281" s="5">
        <v>1</v>
      </c>
      <c r="D281" s="5">
        <v>280</v>
      </c>
    </row>
    <row r="282" spans="1:4" x14ac:dyDescent="0.25">
      <c r="A282" t="s">
        <v>321</v>
      </c>
      <c r="B282" s="1">
        <v>2.964</v>
      </c>
      <c r="C282" s="5">
        <v>4</v>
      </c>
      <c r="D282" s="5">
        <v>281</v>
      </c>
    </row>
    <row r="283" spans="1:4" x14ac:dyDescent="0.25">
      <c r="A283" t="s">
        <v>416</v>
      </c>
      <c r="B283" s="1">
        <v>2.9620000000000002</v>
      </c>
      <c r="C283" s="5">
        <v>12</v>
      </c>
      <c r="D283" s="5">
        <v>282</v>
      </c>
    </row>
    <row r="284" spans="1:4" x14ac:dyDescent="0.25">
      <c r="A284" t="s">
        <v>190</v>
      </c>
      <c r="B284" s="1">
        <v>2.9460000000000002</v>
      </c>
      <c r="C284" s="5">
        <v>13</v>
      </c>
      <c r="D284" s="5">
        <v>283</v>
      </c>
    </row>
    <row r="285" spans="1:4" x14ac:dyDescent="0.25">
      <c r="A285" t="s">
        <v>463</v>
      </c>
      <c r="B285" s="1">
        <v>2.9460000000000002</v>
      </c>
      <c r="C285" s="5">
        <v>5</v>
      </c>
      <c r="D285" s="5">
        <v>284</v>
      </c>
    </row>
    <row r="286" spans="1:4" x14ac:dyDescent="0.25">
      <c r="A286" t="s">
        <v>517</v>
      </c>
      <c r="B286" s="1">
        <v>2.9449999999999998</v>
      </c>
      <c r="C286" s="5">
        <v>2</v>
      </c>
      <c r="D286" s="5">
        <v>285</v>
      </c>
    </row>
    <row r="287" spans="1:4" x14ac:dyDescent="0.25">
      <c r="A287" t="s">
        <v>534</v>
      </c>
      <c r="B287" s="1">
        <v>2.9409999999999998</v>
      </c>
      <c r="C287" s="5">
        <v>1</v>
      </c>
      <c r="D287" s="5">
        <v>286</v>
      </c>
    </row>
    <row r="288" spans="1:4" x14ac:dyDescent="0.25">
      <c r="A288" t="s">
        <v>248</v>
      </c>
      <c r="B288" s="1">
        <v>2.94</v>
      </c>
      <c r="C288" s="5">
        <v>14</v>
      </c>
      <c r="D288" s="5">
        <v>287</v>
      </c>
    </row>
    <row r="289" spans="1:4" x14ac:dyDescent="0.25">
      <c r="A289" t="s">
        <v>170</v>
      </c>
      <c r="B289" s="1">
        <v>2.94</v>
      </c>
      <c r="C289" s="5">
        <v>1</v>
      </c>
      <c r="D289" s="5">
        <v>288</v>
      </c>
    </row>
    <row r="290" spans="1:4" x14ac:dyDescent="0.25">
      <c r="A290" t="s">
        <v>453</v>
      </c>
      <c r="B290" s="1">
        <v>2.94</v>
      </c>
      <c r="C290" s="5">
        <v>4</v>
      </c>
      <c r="D290" s="5">
        <v>289</v>
      </c>
    </row>
    <row r="291" spans="1:4" x14ac:dyDescent="0.25">
      <c r="A291" t="s">
        <v>217</v>
      </c>
      <c r="B291" s="1">
        <v>2.9369999999999998</v>
      </c>
      <c r="C291" s="5">
        <v>11</v>
      </c>
      <c r="D291" s="5">
        <v>290</v>
      </c>
    </row>
    <row r="292" spans="1:4" x14ac:dyDescent="0.25">
      <c r="A292" t="s">
        <v>179</v>
      </c>
      <c r="B292" s="1">
        <v>2.9350000000000001</v>
      </c>
      <c r="C292" s="5">
        <v>30</v>
      </c>
      <c r="D292" s="5">
        <v>291</v>
      </c>
    </row>
    <row r="293" spans="1:4" x14ac:dyDescent="0.25">
      <c r="A293" t="s">
        <v>403</v>
      </c>
      <c r="B293" s="1">
        <v>2.9279999999999999</v>
      </c>
      <c r="C293" s="5">
        <v>2</v>
      </c>
      <c r="D293" s="5">
        <v>292</v>
      </c>
    </row>
    <row r="294" spans="1:4" x14ac:dyDescent="0.25">
      <c r="A294" t="s">
        <v>367</v>
      </c>
      <c r="B294" s="1">
        <v>2.9239999999999999</v>
      </c>
      <c r="C294" s="5">
        <v>1</v>
      </c>
      <c r="D294" s="5">
        <v>293</v>
      </c>
    </row>
    <row r="295" spans="1:4" x14ac:dyDescent="0.25">
      <c r="A295" t="s">
        <v>139</v>
      </c>
      <c r="B295" s="1">
        <v>2.919</v>
      </c>
      <c r="C295" s="5">
        <v>25</v>
      </c>
      <c r="D295" s="5">
        <v>294</v>
      </c>
    </row>
    <row r="296" spans="1:4" x14ac:dyDescent="0.25">
      <c r="A296" t="s">
        <v>172</v>
      </c>
      <c r="B296" s="1">
        <v>2.9159999999999999</v>
      </c>
      <c r="C296" s="5">
        <v>1</v>
      </c>
      <c r="D296" s="5">
        <v>295</v>
      </c>
    </row>
    <row r="297" spans="1:4" x14ac:dyDescent="0.25">
      <c r="A297" t="s">
        <v>207</v>
      </c>
      <c r="B297" s="1">
        <v>2.9159999999999999</v>
      </c>
      <c r="C297" s="5">
        <v>6</v>
      </c>
      <c r="D297" s="5">
        <v>296</v>
      </c>
    </row>
    <row r="298" spans="1:4" x14ac:dyDescent="0.25">
      <c r="A298" t="s">
        <v>339</v>
      </c>
      <c r="B298" s="1">
        <v>2.9159999999999999</v>
      </c>
      <c r="C298" s="5">
        <v>2</v>
      </c>
      <c r="D298" s="5">
        <v>297</v>
      </c>
    </row>
    <row r="299" spans="1:4" x14ac:dyDescent="0.25">
      <c r="A299" t="s">
        <v>117</v>
      </c>
      <c r="B299" s="1">
        <v>2.9159999999999999</v>
      </c>
      <c r="C299" s="5">
        <v>8</v>
      </c>
      <c r="D299" s="5">
        <v>298</v>
      </c>
    </row>
    <row r="300" spans="1:4" x14ac:dyDescent="0.25">
      <c r="A300" t="s">
        <v>368</v>
      </c>
      <c r="B300" s="1">
        <v>2.91</v>
      </c>
      <c r="C300" s="5">
        <v>1</v>
      </c>
      <c r="D300" s="5">
        <v>299</v>
      </c>
    </row>
    <row r="301" spans="1:4" x14ac:dyDescent="0.25">
      <c r="A301" t="s">
        <v>218</v>
      </c>
      <c r="B301" s="1">
        <v>2.9089999999999998</v>
      </c>
      <c r="C301" s="5">
        <v>62</v>
      </c>
      <c r="D301" s="5">
        <v>300</v>
      </c>
    </row>
    <row r="302" spans="1:4" x14ac:dyDescent="0.25">
      <c r="A302" t="s">
        <v>456</v>
      </c>
      <c r="B302" s="1">
        <v>2.9089999999999998</v>
      </c>
      <c r="C302" s="5">
        <v>7</v>
      </c>
      <c r="D302" s="5">
        <v>301</v>
      </c>
    </row>
    <row r="303" spans="1:4" x14ac:dyDescent="0.25">
      <c r="A303" t="s">
        <v>420</v>
      </c>
      <c r="B303" s="1">
        <v>2.9089999999999998</v>
      </c>
      <c r="C303" s="5">
        <v>20</v>
      </c>
      <c r="D303" s="5">
        <v>302</v>
      </c>
    </row>
    <row r="304" spans="1:4" x14ac:dyDescent="0.25">
      <c r="A304" t="s">
        <v>520</v>
      </c>
      <c r="B304" s="1">
        <v>2.9060000000000001</v>
      </c>
      <c r="C304" s="5">
        <v>1</v>
      </c>
      <c r="D304" s="5">
        <v>303</v>
      </c>
    </row>
    <row r="305" spans="1:4" x14ac:dyDescent="0.25">
      <c r="A305" t="s">
        <v>198</v>
      </c>
      <c r="B305" s="1">
        <v>2.9039999999999999</v>
      </c>
      <c r="C305" s="5">
        <v>6</v>
      </c>
      <c r="D305" s="5">
        <v>304</v>
      </c>
    </row>
    <row r="306" spans="1:4" x14ac:dyDescent="0.25">
      <c r="A306" t="s">
        <v>455</v>
      </c>
      <c r="B306" s="1">
        <v>2.9039999999999999</v>
      </c>
      <c r="C306" s="5">
        <v>2</v>
      </c>
      <c r="D306" s="5">
        <v>305</v>
      </c>
    </row>
    <row r="307" spans="1:4" x14ac:dyDescent="0.25">
      <c r="A307" t="s">
        <v>464</v>
      </c>
      <c r="B307" s="1">
        <v>2.9</v>
      </c>
      <c r="C307" s="5">
        <v>5</v>
      </c>
      <c r="D307" s="5">
        <v>306</v>
      </c>
    </row>
    <row r="308" spans="1:4" x14ac:dyDescent="0.25">
      <c r="A308" t="s">
        <v>309</v>
      </c>
      <c r="B308" s="1">
        <v>2.9</v>
      </c>
      <c r="C308" s="5">
        <v>2</v>
      </c>
      <c r="D308" s="5">
        <v>307</v>
      </c>
    </row>
    <row r="309" spans="1:4" x14ac:dyDescent="0.25">
      <c r="A309" t="s">
        <v>417</v>
      </c>
      <c r="B309" s="1">
        <v>2.8980000000000001</v>
      </c>
      <c r="C309" s="5">
        <v>4</v>
      </c>
      <c r="D309" s="5">
        <v>308</v>
      </c>
    </row>
    <row r="310" spans="1:4" x14ac:dyDescent="0.25">
      <c r="A310" t="s">
        <v>467</v>
      </c>
      <c r="B310" s="1">
        <v>2.8940000000000001</v>
      </c>
      <c r="C310" s="5">
        <v>12</v>
      </c>
      <c r="D310" s="5">
        <v>309</v>
      </c>
    </row>
    <row r="311" spans="1:4" x14ac:dyDescent="0.25">
      <c r="A311" t="s">
        <v>187</v>
      </c>
      <c r="B311" s="1">
        <v>2.8919999999999999</v>
      </c>
      <c r="C311" s="5">
        <v>30</v>
      </c>
      <c r="D311" s="5">
        <v>310</v>
      </c>
    </row>
    <row r="312" spans="1:4" x14ac:dyDescent="0.25">
      <c r="A312" t="s">
        <v>369</v>
      </c>
      <c r="B312" s="1">
        <v>2.8919999999999999</v>
      </c>
      <c r="C312" s="5">
        <v>2</v>
      </c>
      <c r="D312" s="5">
        <v>311</v>
      </c>
    </row>
    <row r="313" spans="1:4" x14ac:dyDescent="0.25">
      <c r="A313" t="s">
        <v>462</v>
      </c>
      <c r="B313" s="1">
        <v>2.891</v>
      </c>
      <c r="C313" s="5">
        <v>4</v>
      </c>
      <c r="D313" s="5">
        <v>312</v>
      </c>
    </row>
    <row r="314" spans="1:4" x14ac:dyDescent="0.25">
      <c r="A314" t="s">
        <v>166</v>
      </c>
      <c r="B314" s="1">
        <v>2.89</v>
      </c>
      <c r="C314" s="5">
        <v>6</v>
      </c>
      <c r="D314" s="5">
        <v>313</v>
      </c>
    </row>
    <row r="315" spans="1:4" x14ac:dyDescent="0.25">
      <c r="A315" t="s">
        <v>136</v>
      </c>
      <c r="B315" s="1">
        <v>2.8879999999999999</v>
      </c>
      <c r="C315" s="5">
        <v>8</v>
      </c>
      <c r="D315" s="5">
        <v>314</v>
      </c>
    </row>
    <row r="316" spans="1:4" x14ac:dyDescent="0.25">
      <c r="A316" t="s">
        <v>457</v>
      </c>
      <c r="B316" s="1">
        <v>2.8860000000000001</v>
      </c>
      <c r="C316" s="5">
        <v>1</v>
      </c>
      <c r="D316" s="5">
        <v>315</v>
      </c>
    </row>
    <row r="317" spans="1:4" x14ac:dyDescent="0.25">
      <c r="A317" t="s">
        <v>458</v>
      </c>
      <c r="B317" s="1">
        <v>2.8860000000000001</v>
      </c>
      <c r="C317" s="5">
        <v>3</v>
      </c>
      <c r="D317" s="5">
        <v>316</v>
      </c>
    </row>
    <row r="318" spans="1:4" x14ac:dyDescent="0.25">
      <c r="A318" t="s">
        <v>374</v>
      </c>
      <c r="B318" s="1">
        <v>2.8839999999999999</v>
      </c>
      <c r="C318" s="5">
        <v>2</v>
      </c>
      <c r="D318" s="5">
        <v>317</v>
      </c>
    </row>
    <row r="319" spans="1:4" x14ac:dyDescent="0.25">
      <c r="A319" t="s">
        <v>499</v>
      </c>
      <c r="B319" s="1">
        <v>2.883</v>
      </c>
      <c r="C319" s="5">
        <v>1</v>
      </c>
      <c r="D319" s="5">
        <v>318</v>
      </c>
    </row>
    <row r="320" spans="1:4" x14ac:dyDescent="0.25">
      <c r="A320" t="s">
        <v>175</v>
      </c>
      <c r="B320" s="1">
        <v>2.88</v>
      </c>
      <c r="C320" s="5">
        <v>1</v>
      </c>
      <c r="D320" s="5">
        <v>319</v>
      </c>
    </row>
    <row r="321" spans="1:4" x14ac:dyDescent="0.25">
      <c r="A321" t="s">
        <v>316</v>
      </c>
      <c r="B321" s="1">
        <v>2.8740000000000001</v>
      </c>
      <c r="C321" s="5">
        <v>2</v>
      </c>
      <c r="D321" s="5">
        <v>320</v>
      </c>
    </row>
    <row r="322" spans="1:4" x14ac:dyDescent="0.25">
      <c r="A322" t="s">
        <v>519</v>
      </c>
      <c r="B322" s="1">
        <v>2.8679999999999999</v>
      </c>
      <c r="C322" s="5">
        <v>1</v>
      </c>
      <c r="D322" s="5">
        <v>321</v>
      </c>
    </row>
    <row r="323" spans="1:4" x14ac:dyDescent="0.25">
      <c r="A323" t="s">
        <v>276</v>
      </c>
      <c r="B323" s="1">
        <v>2.8639999999999999</v>
      </c>
      <c r="C323" s="5">
        <v>3</v>
      </c>
      <c r="D323" s="5">
        <v>322</v>
      </c>
    </row>
    <row r="324" spans="1:4" x14ac:dyDescent="0.25">
      <c r="A324" t="s">
        <v>259</v>
      </c>
      <c r="B324" s="1">
        <v>2.8620000000000001</v>
      </c>
      <c r="C324" s="5">
        <v>9</v>
      </c>
      <c r="D324" s="5">
        <v>323</v>
      </c>
    </row>
    <row r="325" spans="1:4" x14ac:dyDescent="0.25">
      <c r="A325" t="s">
        <v>459</v>
      </c>
      <c r="B325" s="1">
        <v>2.86</v>
      </c>
      <c r="C325" s="5">
        <v>2</v>
      </c>
      <c r="D325" s="5">
        <v>324</v>
      </c>
    </row>
    <row r="326" spans="1:4" x14ac:dyDescent="0.25">
      <c r="A326" t="s">
        <v>460</v>
      </c>
      <c r="B326" s="1">
        <v>2.86</v>
      </c>
      <c r="C326" s="5">
        <v>1</v>
      </c>
      <c r="D326" s="5">
        <v>325</v>
      </c>
    </row>
    <row r="327" spans="1:4" x14ac:dyDescent="0.25">
      <c r="A327" t="s">
        <v>280</v>
      </c>
      <c r="B327" s="1">
        <v>2.8519999999999999</v>
      </c>
      <c r="C327" s="5">
        <v>1</v>
      </c>
      <c r="D327" s="5">
        <v>326</v>
      </c>
    </row>
    <row r="328" spans="1:4" x14ac:dyDescent="0.25">
      <c r="A328" t="s">
        <v>512</v>
      </c>
      <c r="B328" s="1">
        <v>2.8479999999999999</v>
      </c>
      <c r="C328" s="5">
        <v>1</v>
      </c>
      <c r="D328" s="5">
        <v>327</v>
      </c>
    </row>
    <row r="329" spans="1:4" x14ac:dyDescent="0.25">
      <c r="A329" t="s">
        <v>314</v>
      </c>
      <c r="B329" s="1">
        <v>2.8450000000000002</v>
      </c>
      <c r="C329" s="5">
        <v>7</v>
      </c>
      <c r="D329" s="5">
        <v>328</v>
      </c>
    </row>
    <row r="330" spans="1:4" x14ac:dyDescent="0.25">
      <c r="A330" t="s">
        <v>513</v>
      </c>
      <c r="B330" s="1">
        <v>2.8439999999999999</v>
      </c>
      <c r="C330" s="5">
        <v>1</v>
      </c>
      <c r="D330" s="5">
        <v>329</v>
      </c>
    </row>
    <row r="331" spans="1:4" x14ac:dyDescent="0.25">
      <c r="A331" t="s">
        <v>501</v>
      </c>
      <c r="B331" s="1">
        <v>2.8420000000000001</v>
      </c>
      <c r="C331" s="5">
        <v>1</v>
      </c>
      <c r="D331" s="5">
        <v>330</v>
      </c>
    </row>
    <row r="332" spans="1:4" x14ac:dyDescent="0.25">
      <c r="A332" t="s">
        <v>165</v>
      </c>
      <c r="B332" s="1">
        <v>2.8370000000000002</v>
      </c>
      <c r="C332" s="5">
        <v>16</v>
      </c>
      <c r="D332" s="5">
        <v>331</v>
      </c>
    </row>
    <row r="333" spans="1:4" x14ac:dyDescent="0.25">
      <c r="A333" t="s">
        <v>181</v>
      </c>
      <c r="B333" s="1">
        <v>2.8319999999999999</v>
      </c>
      <c r="C333" s="5">
        <v>1</v>
      </c>
      <c r="D333" s="5">
        <v>332</v>
      </c>
    </row>
    <row r="334" spans="1:4" x14ac:dyDescent="0.25">
      <c r="A334" t="s">
        <v>536</v>
      </c>
      <c r="B334" s="1">
        <v>2.831</v>
      </c>
      <c r="C334" s="5">
        <v>1</v>
      </c>
      <c r="D334" s="5">
        <v>333</v>
      </c>
    </row>
    <row r="335" spans="1:4" x14ac:dyDescent="0.25">
      <c r="A335" t="s">
        <v>490</v>
      </c>
      <c r="B335" s="1">
        <v>2.827</v>
      </c>
      <c r="C335" s="5">
        <v>2</v>
      </c>
      <c r="D335" s="5">
        <v>334</v>
      </c>
    </row>
    <row r="336" spans="1:4" x14ac:dyDescent="0.25">
      <c r="A336" t="s">
        <v>370</v>
      </c>
      <c r="B336" s="1">
        <v>2.8260000000000001</v>
      </c>
      <c r="C336" s="5">
        <v>3</v>
      </c>
      <c r="D336" s="5">
        <v>335</v>
      </c>
    </row>
    <row r="337" spans="1:4" x14ac:dyDescent="0.25">
      <c r="A337" t="s">
        <v>503</v>
      </c>
      <c r="B337" s="1">
        <v>2.8220000000000001</v>
      </c>
      <c r="C337" s="5">
        <v>2</v>
      </c>
      <c r="D337" s="5">
        <v>336</v>
      </c>
    </row>
    <row r="338" spans="1:4" x14ac:dyDescent="0.25">
      <c r="A338" t="s">
        <v>338</v>
      </c>
      <c r="B338" s="1">
        <v>2.82</v>
      </c>
      <c r="C338" s="5">
        <v>8</v>
      </c>
      <c r="D338" s="5">
        <v>337</v>
      </c>
    </row>
    <row r="339" spans="1:4" x14ac:dyDescent="0.25">
      <c r="A339" t="s">
        <v>182</v>
      </c>
      <c r="B339" s="1">
        <v>2.8180000000000001</v>
      </c>
      <c r="C339" s="5">
        <v>2</v>
      </c>
      <c r="D339" s="5">
        <v>338</v>
      </c>
    </row>
    <row r="340" spans="1:4" x14ac:dyDescent="0.25">
      <c r="A340" t="s">
        <v>178</v>
      </c>
      <c r="B340" s="1">
        <v>2.8180000000000001</v>
      </c>
      <c r="C340" s="5">
        <v>5</v>
      </c>
      <c r="D340" s="5">
        <v>339</v>
      </c>
    </row>
    <row r="341" spans="1:4" x14ac:dyDescent="0.25">
      <c r="A341" t="s">
        <v>155</v>
      </c>
      <c r="B341" s="1">
        <v>2.8109999999999999</v>
      </c>
      <c r="C341" s="5">
        <v>61</v>
      </c>
      <c r="D341" s="5">
        <v>340</v>
      </c>
    </row>
    <row r="342" spans="1:4" x14ac:dyDescent="0.25">
      <c r="A342" t="s">
        <v>382</v>
      </c>
      <c r="B342" s="1">
        <v>2.8109999999999999</v>
      </c>
      <c r="C342" s="5">
        <v>4</v>
      </c>
      <c r="D342" s="5">
        <v>341</v>
      </c>
    </row>
    <row r="343" spans="1:4" x14ac:dyDescent="0.25">
      <c r="A343" t="s">
        <v>504</v>
      </c>
      <c r="B343" s="1">
        <v>2.8109999999999999</v>
      </c>
      <c r="C343" s="5">
        <v>4</v>
      </c>
      <c r="D343" s="5">
        <v>342</v>
      </c>
    </row>
    <row r="344" spans="1:4" x14ac:dyDescent="0.25">
      <c r="A344" t="s">
        <v>310</v>
      </c>
      <c r="B344" s="1">
        <v>2.81</v>
      </c>
      <c r="C344" s="5">
        <v>2</v>
      </c>
      <c r="D344" s="5">
        <v>343</v>
      </c>
    </row>
    <row r="345" spans="1:4" x14ac:dyDescent="0.25">
      <c r="A345" t="s">
        <v>184</v>
      </c>
      <c r="B345" s="1">
        <v>2.8079999999999998</v>
      </c>
      <c r="C345" s="5">
        <v>25</v>
      </c>
      <c r="D345" s="5">
        <v>344</v>
      </c>
    </row>
    <row r="346" spans="1:4" x14ac:dyDescent="0.25">
      <c r="A346" t="s">
        <v>522</v>
      </c>
      <c r="B346" s="1">
        <v>2.8010000000000002</v>
      </c>
      <c r="C346" s="5">
        <v>3</v>
      </c>
      <c r="D346" s="5">
        <v>345</v>
      </c>
    </row>
    <row r="347" spans="1:4" x14ac:dyDescent="0.25">
      <c r="A347" t="s">
        <v>537</v>
      </c>
      <c r="B347" s="1">
        <v>2.7989999999999999</v>
      </c>
      <c r="C347" s="5">
        <v>1</v>
      </c>
      <c r="D347" s="5">
        <v>346</v>
      </c>
    </row>
    <row r="348" spans="1:4" x14ac:dyDescent="0.25">
      <c r="A348" t="s">
        <v>186</v>
      </c>
      <c r="B348" s="1">
        <v>2.798</v>
      </c>
      <c r="C348" s="5">
        <v>1</v>
      </c>
      <c r="D348" s="5">
        <v>347</v>
      </c>
    </row>
    <row r="349" spans="1:4" x14ac:dyDescent="0.25">
      <c r="A349" t="s">
        <v>373</v>
      </c>
      <c r="B349" s="1">
        <v>2.798</v>
      </c>
      <c r="C349" s="5">
        <v>1</v>
      </c>
      <c r="D349" s="5">
        <v>348</v>
      </c>
    </row>
    <row r="350" spans="1:4" x14ac:dyDescent="0.25">
      <c r="A350" t="s">
        <v>319</v>
      </c>
      <c r="B350" s="1">
        <v>2.7959999999999998</v>
      </c>
      <c r="C350" s="5">
        <v>12</v>
      </c>
      <c r="D350" s="5">
        <v>349</v>
      </c>
    </row>
    <row r="351" spans="1:4" x14ac:dyDescent="0.25">
      <c r="A351" t="s">
        <v>174</v>
      </c>
      <c r="B351" s="1">
        <v>2.7919999999999998</v>
      </c>
      <c r="C351" s="5">
        <v>17</v>
      </c>
      <c r="D351" s="5">
        <v>350</v>
      </c>
    </row>
    <row r="352" spans="1:4" x14ac:dyDescent="0.25">
      <c r="A352" t="s">
        <v>191</v>
      </c>
      <c r="B352" s="1">
        <v>2.79</v>
      </c>
      <c r="C352" s="5">
        <v>1</v>
      </c>
      <c r="D352" s="5">
        <v>351</v>
      </c>
    </row>
    <row r="353" spans="1:4" x14ac:dyDescent="0.25">
      <c r="A353" t="s">
        <v>130</v>
      </c>
      <c r="B353" s="1">
        <v>2.79</v>
      </c>
      <c r="C353" s="5">
        <v>8</v>
      </c>
      <c r="D353" s="5">
        <v>352</v>
      </c>
    </row>
    <row r="354" spans="1:4" x14ac:dyDescent="0.25">
      <c r="A354" t="s">
        <v>523</v>
      </c>
      <c r="B354" s="1">
        <v>2.79</v>
      </c>
      <c r="C354" s="5">
        <v>1</v>
      </c>
      <c r="D354" s="5">
        <v>353</v>
      </c>
    </row>
    <row r="355" spans="1:4" x14ac:dyDescent="0.25">
      <c r="A355" t="s">
        <v>258</v>
      </c>
      <c r="B355" s="1">
        <v>2.7890000000000001</v>
      </c>
      <c r="C355" s="5">
        <v>9</v>
      </c>
      <c r="D355" s="5">
        <v>354</v>
      </c>
    </row>
    <row r="356" spans="1:4" x14ac:dyDescent="0.25">
      <c r="A356" t="s">
        <v>424</v>
      </c>
      <c r="B356" s="1">
        <v>2.7869999999999999</v>
      </c>
      <c r="C356" s="5">
        <v>3</v>
      </c>
      <c r="D356" s="5">
        <v>355</v>
      </c>
    </row>
    <row r="357" spans="1:4" x14ac:dyDescent="0.25">
      <c r="A357" t="s">
        <v>418</v>
      </c>
      <c r="B357" s="1">
        <v>2.786</v>
      </c>
      <c r="C357" s="5">
        <v>1</v>
      </c>
      <c r="D357" s="5">
        <v>356</v>
      </c>
    </row>
    <row r="358" spans="1:4" x14ac:dyDescent="0.25">
      <c r="A358" t="s">
        <v>465</v>
      </c>
      <c r="B358" s="1">
        <v>2.7829999999999999</v>
      </c>
      <c r="C358" s="5">
        <v>2</v>
      </c>
      <c r="D358" s="5">
        <v>357</v>
      </c>
    </row>
    <row r="359" spans="1:4" x14ac:dyDescent="0.25">
      <c r="A359" t="s">
        <v>505</v>
      </c>
      <c r="B359" s="1">
        <v>2.7829999999999999</v>
      </c>
      <c r="C359" s="5">
        <v>1</v>
      </c>
      <c r="D359" s="5">
        <v>358</v>
      </c>
    </row>
    <row r="360" spans="1:4" x14ac:dyDescent="0.25">
      <c r="A360" t="s">
        <v>507</v>
      </c>
      <c r="B360" s="1">
        <v>2.78</v>
      </c>
      <c r="C360" s="5">
        <v>1</v>
      </c>
      <c r="D360" s="5">
        <v>359</v>
      </c>
    </row>
    <row r="361" spans="1:4" x14ac:dyDescent="0.25">
      <c r="A361" t="s">
        <v>375</v>
      </c>
      <c r="B361" s="1">
        <v>2.778</v>
      </c>
      <c r="C361" s="5">
        <v>1</v>
      </c>
      <c r="D361" s="5">
        <v>360</v>
      </c>
    </row>
    <row r="362" spans="1:4" x14ac:dyDescent="0.25">
      <c r="A362" t="s">
        <v>488</v>
      </c>
      <c r="B362" s="1">
        <v>2.7759999999999998</v>
      </c>
      <c r="C362" s="5">
        <v>2</v>
      </c>
      <c r="D362" s="5">
        <v>361</v>
      </c>
    </row>
    <row r="363" spans="1:4" x14ac:dyDescent="0.25">
      <c r="A363" t="s">
        <v>485</v>
      </c>
      <c r="B363" s="1">
        <v>2.7749999999999999</v>
      </c>
      <c r="C363" s="5">
        <v>2</v>
      </c>
      <c r="D363" s="5">
        <v>362</v>
      </c>
    </row>
    <row r="364" spans="1:4" x14ac:dyDescent="0.25">
      <c r="A364" t="s">
        <v>176</v>
      </c>
      <c r="B364" s="1">
        <v>2.774</v>
      </c>
      <c r="C364" s="5">
        <v>3</v>
      </c>
      <c r="D364" s="5">
        <v>363</v>
      </c>
    </row>
    <row r="365" spans="1:4" x14ac:dyDescent="0.25">
      <c r="A365" t="s">
        <v>194</v>
      </c>
      <c r="B365" s="1">
        <v>2.77</v>
      </c>
      <c r="C365" s="5">
        <v>2</v>
      </c>
      <c r="D365" s="5">
        <v>364</v>
      </c>
    </row>
    <row r="366" spans="1:4" x14ac:dyDescent="0.25">
      <c r="A366" t="s">
        <v>307</v>
      </c>
      <c r="B366" s="1">
        <v>2.77</v>
      </c>
      <c r="C366" s="5">
        <v>1</v>
      </c>
      <c r="D366" s="5">
        <v>365</v>
      </c>
    </row>
    <row r="367" spans="1:4" x14ac:dyDescent="0.25">
      <c r="A367" t="s">
        <v>376</v>
      </c>
      <c r="B367" s="1">
        <v>2.77</v>
      </c>
      <c r="C367" s="5">
        <v>2</v>
      </c>
      <c r="D367" s="5">
        <v>366</v>
      </c>
    </row>
    <row r="368" spans="1:4" x14ac:dyDescent="0.25">
      <c r="A368" t="s">
        <v>345</v>
      </c>
      <c r="B368" s="1">
        <v>2.7639999999999998</v>
      </c>
      <c r="C368" s="5">
        <v>5</v>
      </c>
      <c r="D368" s="5">
        <v>367</v>
      </c>
    </row>
    <row r="369" spans="1:4" x14ac:dyDescent="0.25">
      <c r="A369" t="s">
        <v>283</v>
      </c>
      <c r="B369" s="1">
        <v>2.762</v>
      </c>
      <c r="C369" s="5">
        <v>1</v>
      </c>
      <c r="D369" s="5">
        <v>368</v>
      </c>
    </row>
    <row r="370" spans="1:4" x14ac:dyDescent="0.25">
      <c r="A370" t="s">
        <v>377</v>
      </c>
      <c r="B370" s="1">
        <v>2.762</v>
      </c>
      <c r="C370" s="5">
        <v>1</v>
      </c>
      <c r="D370" s="5">
        <v>369</v>
      </c>
    </row>
    <row r="371" spans="1:4" x14ac:dyDescent="0.25">
      <c r="A371" t="s">
        <v>419</v>
      </c>
      <c r="B371" s="1">
        <v>2.762</v>
      </c>
      <c r="C371" s="5">
        <v>1</v>
      </c>
      <c r="D371" s="5">
        <v>370</v>
      </c>
    </row>
    <row r="372" spans="1:4" x14ac:dyDescent="0.25">
      <c r="A372" t="s">
        <v>497</v>
      </c>
      <c r="B372" s="1">
        <v>2.762</v>
      </c>
      <c r="C372" s="5">
        <v>1</v>
      </c>
      <c r="D372" s="5">
        <v>371</v>
      </c>
    </row>
    <row r="373" spans="1:4" x14ac:dyDescent="0.25">
      <c r="A373" t="s">
        <v>524</v>
      </c>
      <c r="B373" s="1">
        <v>2.7610000000000001</v>
      </c>
      <c r="C373" s="5">
        <v>1</v>
      </c>
      <c r="D373" s="5">
        <v>372</v>
      </c>
    </row>
    <row r="374" spans="1:4" x14ac:dyDescent="0.25">
      <c r="A374" t="s">
        <v>508</v>
      </c>
      <c r="B374" s="1">
        <v>2.7610000000000001</v>
      </c>
      <c r="C374" s="5">
        <v>3</v>
      </c>
      <c r="D374" s="5">
        <v>373</v>
      </c>
    </row>
    <row r="375" spans="1:4" x14ac:dyDescent="0.25">
      <c r="A375" t="s">
        <v>506</v>
      </c>
      <c r="B375" s="1">
        <v>2.7570000000000001</v>
      </c>
      <c r="C375" s="5">
        <v>4</v>
      </c>
      <c r="D375" s="5">
        <v>374</v>
      </c>
    </row>
    <row r="376" spans="1:4" x14ac:dyDescent="0.25">
      <c r="A376" t="s">
        <v>533</v>
      </c>
      <c r="B376" s="1">
        <v>2.7530000000000001</v>
      </c>
      <c r="C376" s="5">
        <v>1</v>
      </c>
      <c r="D376" s="5">
        <v>375</v>
      </c>
    </row>
    <row r="377" spans="1:4" x14ac:dyDescent="0.25">
      <c r="A377" t="s">
        <v>394</v>
      </c>
      <c r="B377" s="1">
        <v>2.7469999999999999</v>
      </c>
      <c r="C377" s="5">
        <v>4</v>
      </c>
      <c r="D377" s="5">
        <v>376</v>
      </c>
    </row>
    <row r="378" spans="1:4" x14ac:dyDescent="0.25">
      <c r="A378" t="s">
        <v>204</v>
      </c>
      <c r="B378" s="1">
        <v>2.746</v>
      </c>
      <c r="C378" s="5">
        <v>3</v>
      </c>
      <c r="D378" s="5">
        <v>377</v>
      </c>
    </row>
    <row r="379" spans="1:4" x14ac:dyDescent="0.25">
      <c r="A379" t="s">
        <v>383</v>
      </c>
      <c r="B379" s="1">
        <v>2.746</v>
      </c>
      <c r="C379" s="5">
        <v>5</v>
      </c>
      <c r="D379" s="5">
        <v>378</v>
      </c>
    </row>
    <row r="380" spans="1:4" x14ac:dyDescent="0.25">
      <c r="A380" t="s">
        <v>381</v>
      </c>
      <c r="B380" s="1">
        <v>2.7440000000000002</v>
      </c>
      <c r="C380" s="5">
        <v>3</v>
      </c>
      <c r="D380" s="5">
        <v>379</v>
      </c>
    </row>
    <row r="381" spans="1:4" x14ac:dyDescent="0.25">
      <c r="A381" t="s">
        <v>466</v>
      </c>
      <c r="B381" s="1">
        <v>2.742</v>
      </c>
      <c r="C381" s="5">
        <v>1</v>
      </c>
      <c r="D381" s="5">
        <v>380</v>
      </c>
    </row>
    <row r="382" spans="1:4" x14ac:dyDescent="0.25">
      <c r="A382" t="s">
        <v>206</v>
      </c>
      <c r="B382" s="1">
        <v>2.738</v>
      </c>
      <c r="C382" s="5">
        <v>1</v>
      </c>
      <c r="D382" s="5">
        <v>381</v>
      </c>
    </row>
    <row r="383" spans="1:4" x14ac:dyDescent="0.25">
      <c r="A383" t="s">
        <v>525</v>
      </c>
      <c r="B383" s="1">
        <v>2.738</v>
      </c>
      <c r="C383" s="5">
        <v>1</v>
      </c>
      <c r="D383" s="5">
        <v>382</v>
      </c>
    </row>
    <row r="384" spans="1:4" x14ac:dyDescent="0.25">
      <c r="A384" t="s">
        <v>379</v>
      </c>
      <c r="B384" s="1">
        <v>2.734</v>
      </c>
      <c r="C384" s="5">
        <v>2</v>
      </c>
      <c r="D384" s="5">
        <v>383</v>
      </c>
    </row>
    <row r="385" spans="1:4" x14ac:dyDescent="0.25">
      <c r="A385" t="s">
        <v>502</v>
      </c>
      <c r="B385" s="1">
        <v>2.7320000000000002</v>
      </c>
      <c r="C385" s="5">
        <v>3</v>
      </c>
      <c r="D385" s="5">
        <v>384</v>
      </c>
    </row>
    <row r="386" spans="1:4" x14ac:dyDescent="0.25">
      <c r="A386" t="s">
        <v>468</v>
      </c>
      <c r="B386" s="1">
        <v>2.73</v>
      </c>
      <c r="C386" s="5">
        <v>1</v>
      </c>
      <c r="D386" s="5">
        <v>385</v>
      </c>
    </row>
    <row r="387" spans="1:4" x14ac:dyDescent="0.25">
      <c r="A387" t="s">
        <v>169</v>
      </c>
      <c r="B387" s="1">
        <v>2.73</v>
      </c>
      <c r="C387" s="5">
        <v>37</v>
      </c>
      <c r="D387" s="5">
        <v>386</v>
      </c>
    </row>
    <row r="388" spans="1:4" x14ac:dyDescent="0.25">
      <c r="A388" t="s">
        <v>201</v>
      </c>
      <c r="B388" s="1">
        <v>2.726</v>
      </c>
      <c r="C388" s="5">
        <v>4</v>
      </c>
      <c r="D388" s="5">
        <v>387</v>
      </c>
    </row>
    <row r="389" spans="1:4" x14ac:dyDescent="0.25">
      <c r="A389" t="s">
        <v>510</v>
      </c>
      <c r="B389" s="1">
        <v>2.7250000000000001</v>
      </c>
      <c r="C389" s="5">
        <v>1</v>
      </c>
      <c r="D389" s="5">
        <v>388</v>
      </c>
    </row>
    <row r="390" spans="1:4" x14ac:dyDescent="0.25">
      <c r="A390" t="s">
        <v>469</v>
      </c>
      <c r="B390" s="1">
        <v>2.7240000000000002</v>
      </c>
      <c r="C390" s="5">
        <v>1</v>
      </c>
      <c r="D390" s="5">
        <v>389</v>
      </c>
    </row>
    <row r="391" spans="1:4" x14ac:dyDescent="0.25">
      <c r="A391" t="s">
        <v>177</v>
      </c>
      <c r="B391" s="1">
        <v>2.7229999999999999</v>
      </c>
      <c r="C391" s="5">
        <v>12</v>
      </c>
      <c r="D391" s="5">
        <v>390</v>
      </c>
    </row>
    <row r="392" spans="1:4" x14ac:dyDescent="0.25">
      <c r="A392" t="s">
        <v>196</v>
      </c>
      <c r="B392" s="1">
        <v>2.7229999999999999</v>
      </c>
      <c r="C392" s="5">
        <v>10</v>
      </c>
      <c r="D392" s="5">
        <v>391</v>
      </c>
    </row>
    <row r="393" spans="1:4" x14ac:dyDescent="0.25">
      <c r="A393" t="s">
        <v>286</v>
      </c>
      <c r="B393" s="1">
        <v>2.72</v>
      </c>
      <c r="C393" s="5">
        <v>1</v>
      </c>
      <c r="D393" s="5">
        <v>392</v>
      </c>
    </row>
    <row r="394" spans="1:4" x14ac:dyDescent="0.25">
      <c r="A394" t="s">
        <v>470</v>
      </c>
      <c r="B394" s="1">
        <v>2.7160000000000002</v>
      </c>
      <c r="C394" s="5">
        <v>3</v>
      </c>
      <c r="D394" s="5">
        <v>393</v>
      </c>
    </row>
    <row r="395" spans="1:4" x14ac:dyDescent="0.25">
      <c r="A395" t="s">
        <v>380</v>
      </c>
      <c r="B395" s="1">
        <v>2.7160000000000002</v>
      </c>
      <c r="C395" s="5">
        <v>1</v>
      </c>
      <c r="D395" s="5">
        <v>394</v>
      </c>
    </row>
    <row r="396" spans="1:4" x14ac:dyDescent="0.25">
      <c r="A396" t="s">
        <v>211</v>
      </c>
      <c r="B396" s="1">
        <v>2.714</v>
      </c>
      <c r="C396" s="5">
        <v>1</v>
      </c>
      <c r="D396" s="5">
        <v>395</v>
      </c>
    </row>
    <row r="397" spans="1:4" x14ac:dyDescent="0.25">
      <c r="A397" t="s">
        <v>212</v>
      </c>
      <c r="B397" s="1">
        <v>2.714</v>
      </c>
      <c r="C397" s="5">
        <v>1</v>
      </c>
      <c r="D397" s="5">
        <v>396</v>
      </c>
    </row>
    <row r="398" spans="1:4" x14ac:dyDescent="0.25">
      <c r="A398" t="s">
        <v>385</v>
      </c>
      <c r="B398" s="1">
        <v>2.7130000000000001</v>
      </c>
      <c r="C398" s="5">
        <v>4</v>
      </c>
      <c r="D398" s="5">
        <v>397</v>
      </c>
    </row>
    <row r="399" spans="1:4" x14ac:dyDescent="0.25">
      <c r="A399" t="s">
        <v>422</v>
      </c>
      <c r="B399" s="1">
        <v>2.71</v>
      </c>
      <c r="C399" s="5">
        <v>2</v>
      </c>
      <c r="D399" s="5">
        <v>398</v>
      </c>
    </row>
    <row r="400" spans="1:4" x14ac:dyDescent="0.25">
      <c r="A400" t="s">
        <v>192</v>
      </c>
      <c r="B400" s="1">
        <v>2.7080000000000002</v>
      </c>
      <c r="C400" s="5">
        <v>2</v>
      </c>
      <c r="D400" s="5">
        <v>399</v>
      </c>
    </row>
    <row r="401" spans="1:4" x14ac:dyDescent="0.25">
      <c r="A401" t="s">
        <v>538</v>
      </c>
      <c r="B401" s="1">
        <v>2.7069999999999999</v>
      </c>
      <c r="C401" s="5">
        <v>1</v>
      </c>
      <c r="D401" s="5">
        <v>400</v>
      </c>
    </row>
    <row r="402" spans="1:4" x14ac:dyDescent="0.25">
      <c r="A402" t="s">
        <v>304</v>
      </c>
      <c r="B402" s="1">
        <v>2.706</v>
      </c>
      <c r="C402" s="5">
        <v>2</v>
      </c>
      <c r="D402" s="5">
        <v>401</v>
      </c>
    </row>
    <row r="403" spans="1:4" x14ac:dyDescent="0.25">
      <c r="A403" t="s">
        <v>225</v>
      </c>
      <c r="B403" s="1">
        <v>2.7040000000000002</v>
      </c>
      <c r="C403" s="5">
        <v>2</v>
      </c>
      <c r="D403" s="5">
        <v>402</v>
      </c>
    </row>
    <row r="404" spans="1:4" x14ac:dyDescent="0.25">
      <c r="A404" t="s">
        <v>200</v>
      </c>
      <c r="B404" s="1">
        <v>2.7029999999999998</v>
      </c>
      <c r="C404" s="5">
        <v>6</v>
      </c>
      <c r="D404" s="5">
        <v>403</v>
      </c>
    </row>
    <row r="405" spans="1:4" x14ac:dyDescent="0.25">
      <c r="A405" t="s">
        <v>291</v>
      </c>
      <c r="B405" s="1">
        <v>2.7029999999999998</v>
      </c>
      <c r="C405" s="5">
        <v>6</v>
      </c>
      <c r="D405" s="5">
        <v>404</v>
      </c>
    </row>
    <row r="406" spans="1:4" x14ac:dyDescent="0.25">
      <c r="A406" t="s">
        <v>471</v>
      </c>
      <c r="B406" s="1">
        <v>2.702</v>
      </c>
      <c r="C406" s="5">
        <v>3</v>
      </c>
      <c r="D406" s="5">
        <v>405</v>
      </c>
    </row>
    <row r="407" spans="1:4" x14ac:dyDescent="0.25">
      <c r="A407" t="s">
        <v>423</v>
      </c>
      <c r="B407" s="1">
        <v>2.702</v>
      </c>
      <c r="C407" s="5">
        <v>1</v>
      </c>
      <c r="D407" s="5">
        <v>406</v>
      </c>
    </row>
    <row r="408" spans="1:4" x14ac:dyDescent="0.25">
      <c r="A408" t="s">
        <v>214</v>
      </c>
      <c r="B408" s="1">
        <v>2.698</v>
      </c>
      <c r="C408" s="5">
        <v>2</v>
      </c>
      <c r="D408" s="5">
        <v>407</v>
      </c>
    </row>
    <row r="409" spans="1:4" x14ac:dyDescent="0.25">
      <c r="A409" t="s">
        <v>287</v>
      </c>
      <c r="B409" s="1">
        <v>2.698</v>
      </c>
      <c r="C409" s="5">
        <v>3</v>
      </c>
      <c r="D409" s="5">
        <v>408</v>
      </c>
    </row>
    <row r="410" spans="1:4" x14ac:dyDescent="0.25">
      <c r="A410" t="s">
        <v>318</v>
      </c>
      <c r="B410" s="1">
        <v>2.698</v>
      </c>
      <c r="C410" s="5">
        <v>10</v>
      </c>
      <c r="D410" s="5">
        <v>409</v>
      </c>
    </row>
    <row r="411" spans="1:4" x14ac:dyDescent="0.25">
      <c r="A411" t="s">
        <v>215</v>
      </c>
      <c r="B411" s="1">
        <v>2.69</v>
      </c>
      <c r="C411" s="5">
        <v>2</v>
      </c>
      <c r="D411" s="5">
        <v>410</v>
      </c>
    </row>
    <row r="412" spans="1:4" x14ac:dyDescent="0.25">
      <c r="A412" t="s">
        <v>219</v>
      </c>
      <c r="B412" s="1">
        <v>2.69</v>
      </c>
      <c r="C412" s="5">
        <v>1</v>
      </c>
      <c r="D412" s="5">
        <v>411</v>
      </c>
    </row>
    <row r="413" spans="1:4" x14ac:dyDescent="0.25">
      <c r="A413" t="s">
        <v>518</v>
      </c>
      <c r="B413" s="1">
        <v>2.69</v>
      </c>
      <c r="C413" s="5">
        <v>2</v>
      </c>
      <c r="D413" s="5">
        <v>412</v>
      </c>
    </row>
    <row r="414" spans="1:4" x14ac:dyDescent="0.25">
      <c r="A414" t="s">
        <v>472</v>
      </c>
      <c r="B414" s="1">
        <v>2.6890000000000001</v>
      </c>
      <c r="C414" s="5">
        <v>3</v>
      </c>
      <c r="D414" s="5">
        <v>413</v>
      </c>
    </row>
    <row r="415" spans="1:4" x14ac:dyDescent="0.25">
      <c r="A415" t="s">
        <v>180</v>
      </c>
      <c r="B415" s="1">
        <v>2.6869999999999998</v>
      </c>
      <c r="C415" s="5">
        <v>9</v>
      </c>
      <c r="D415" s="5">
        <v>414</v>
      </c>
    </row>
    <row r="416" spans="1:4" x14ac:dyDescent="0.25">
      <c r="A416" t="s">
        <v>290</v>
      </c>
      <c r="B416" s="1">
        <v>2.6859999999999999</v>
      </c>
      <c r="C416" s="5">
        <v>23</v>
      </c>
      <c r="D416" s="5">
        <v>415</v>
      </c>
    </row>
    <row r="417" spans="1:4" x14ac:dyDescent="0.25">
      <c r="A417" t="s">
        <v>208</v>
      </c>
      <c r="B417" s="1">
        <v>2.6859999999999999</v>
      </c>
      <c r="C417" s="5">
        <v>10</v>
      </c>
      <c r="D417" s="5">
        <v>416</v>
      </c>
    </row>
    <row r="418" spans="1:4" x14ac:dyDescent="0.25">
      <c r="A418" t="s">
        <v>221</v>
      </c>
      <c r="B418" s="1">
        <v>2.6859999999999999</v>
      </c>
      <c r="C418" s="5">
        <v>1</v>
      </c>
      <c r="D418" s="5">
        <v>417</v>
      </c>
    </row>
    <row r="419" spans="1:4" x14ac:dyDescent="0.25">
      <c r="A419" t="s">
        <v>220</v>
      </c>
      <c r="B419" s="1">
        <v>2.6840000000000002</v>
      </c>
      <c r="C419" s="5">
        <v>1</v>
      </c>
      <c r="D419" s="5">
        <v>418</v>
      </c>
    </row>
    <row r="420" spans="1:4" x14ac:dyDescent="0.25">
      <c r="A420" t="s">
        <v>279</v>
      </c>
      <c r="B420" s="1">
        <v>2.6819999999999999</v>
      </c>
      <c r="C420" s="5">
        <v>4</v>
      </c>
      <c r="D420" s="5">
        <v>419</v>
      </c>
    </row>
    <row r="421" spans="1:4" x14ac:dyDescent="0.25">
      <c r="A421" t="s">
        <v>205</v>
      </c>
      <c r="B421" s="1">
        <v>2.68</v>
      </c>
      <c r="C421" s="5">
        <v>4</v>
      </c>
      <c r="D421" s="5">
        <v>420</v>
      </c>
    </row>
    <row r="422" spans="1:4" x14ac:dyDescent="0.25">
      <c r="A422" t="s">
        <v>223</v>
      </c>
      <c r="B422" s="1">
        <v>2.6789999999999998</v>
      </c>
      <c r="C422" s="5">
        <v>35</v>
      </c>
      <c r="D422" s="5">
        <v>421</v>
      </c>
    </row>
    <row r="423" spans="1:4" x14ac:dyDescent="0.25">
      <c r="A423" t="s">
        <v>378</v>
      </c>
      <c r="B423" s="1">
        <v>2.677</v>
      </c>
      <c r="C423" s="5">
        <v>3</v>
      </c>
      <c r="D423" s="5">
        <v>422</v>
      </c>
    </row>
    <row r="424" spans="1:4" x14ac:dyDescent="0.25">
      <c r="A424" t="s">
        <v>384</v>
      </c>
      <c r="B424" s="1">
        <v>2.6760000000000002</v>
      </c>
      <c r="C424" s="5">
        <v>3</v>
      </c>
      <c r="D424" s="5">
        <v>423</v>
      </c>
    </row>
    <row r="425" spans="1:4" x14ac:dyDescent="0.25">
      <c r="A425" t="s">
        <v>500</v>
      </c>
      <c r="B425" s="1">
        <v>2.673</v>
      </c>
      <c r="C425" s="5">
        <v>3</v>
      </c>
      <c r="D425" s="5">
        <v>424</v>
      </c>
    </row>
    <row r="426" spans="1:4" x14ac:dyDescent="0.25">
      <c r="A426" t="s">
        <v>300</v>
      </c>
      <c r="B426" s="1">
        <v>2.6720000000000002</v>
      </c>
      <c r="C426" s="5">
        <v>1</v>
      </c>
      <c r="D426" s="5">
        <v>425</v>
      </c>
    </row>
    <row r="427" spans="1:4" x14ac:dyDescent="0.25">
      <c r="A427" t="s">
        <v>526</v>
      </c>
      <c r="B427" s="1">
        <v>2.6720000000000002</v>
      </c>
      <c r="C427" s="5">
        <v>3</v>
      </c>
      <c r="D427" s="5">
        <v>426</v>
      </c>
    </row>
    <row r="428" spans="1:4" x14ac:dyDescent="0.25">
      <c r="A428" t="s">
        <v>527</v>
      </c>
      <c r="B428" s="1">
        <v>2.67</v>
      </c>
      <c r="C428" s="5">
        <v>1</v>
      </c>
      <c r="D428" s="5">
        <v>427</v>
      </c>
    </row>
    <row r="429" spans="1:4" x14ac:dyDescent="0.25">
      <c r="A429" t="s">
        <v>209</v>
      </c>
      <c r="B429" s="1">
        <v>2.67</v>
      </c>
      <c r="C429" s="5">
        <v>35</v>
      </c>
      <c r="D429" s="5">
        <v>428</v>
      </c>
    </row>
    <row r="430" spans="1:4" x14ac:dyDescent="0.25">
      <c r="A430" t="s">
        <v>425</v>
      </c>
      <c r="B430" s="1">
        <v>2.67</v>
      </c>
      <c r="C430" s="5">
        <v>1</v>
      </c>
      <c r="D430" s="5">
        <v>429</v>
      </c>
    </row>
    <row r="431" spans="1:4" x14ac:dyDescent="0.25">
      <c r="A431" t="s">
        <v>528</v>
      </c>
      <c r="B431" s="1">
        <v>2.6669999999999998</v>
      </c>
      <c r="C431" s="5">
        <v>1</v>
      </c>
      <c r="D431" s="5">
        <v>430</v>
      </c>
    </row>
    <row r="432" spans="1:4" x14ac:dyDescent="0.25">
      <c r="A432" t="s">
        <v>222</v>
      </c>
      <c r="B432" s="1">
        <v>2.6659999999999999</v>
      </c>
      <c r="C432" s="5">
        <v>1</v>
      </c>
      <c r="D432" s="5">
        <v>431</v>
      </c>
    </row>
    <row r="433" spans="1:4" x14ac:dyDescent="0.25">
      <c r="A433" t="s">
        <v>173</v>
      </c>
      <c r="B433" s="1">
        <v>2.6659999999999999</v>
      </c>
      <c r="C433" s="5">
        <v>21</v>
      </c>
      <c r="D433" s="5">
        <v>432</v>
      </c>
    </row>
    <row r="434" spans="1:4" x14ac:dyDescent="0.25">
      <c r="A434" t="s">
        <v>262</v>
      </c>
      <c r="B434" s="1">
        <v>2.6579999999999999</v>
      </c>
      <c r="C434" s="5">
        <v>2</v>
      </c>
      <c r="D434" s="5">
        <v>433</v>
      </c>
    </row>
    <row r="435" spans="1:4" x14ac:dyDescent="0.25">
      <c r="A435" t="s">
        <v>224</v>
      </c>
      <c r="B435" s="1">
        <v>2.6539999999999999</v>
      </c>
      <c r="C435" s="5">
        <v>1</v>
      </c>
      <c r="D435" s="5">
        <v>434</v>
      </c>
    </row>
    <row r="436" spans="1:4" x14ac:dyDescent="0.25">
      <c r="A436" t="s">
        <v>486</v>
      </c>
      <c r="B436" s="1">
        <v>2.653</v>
      </c>
      <c r="C436" s="5">
        <v>1</v>
      </c>
      <c r="D436" s="5">
        <v>435</v>
      </c>
    </row>
    <row r="437" spans="1:4" x14ac:dyDescent="0.25">
      <c r="A437" t="s">
        <v>226</v>
      </c>
      <c r="B437" s="1">
        <v>2.6520000000000001</v>
      </c>
      <c r="C437" s="5">
        <v>3</v>
      </c>
      <c r="D437" s="5">
        <v>436</v>
      </c>
    </row>
    <row r="438" spans="1:4" x14ac:dyDescent="0.25">
      <c r="A438" t="s">
        <v>322</v>
      </c>
      <c r="B438" s="1">
        <v>2.6480000000000001</v>
      </c>
      <c r="C438" s="5">
        <v>3</v>
      </c>
      <c r="D438" s="5">
        <v>437</v>
      </c>
    </row>
    <row r="439" spans="1:4" x14ac:dyDescent="0.25">
      <c r="A439" t="s">
        <v>531</v>
      </c>
      <c r="B439" s="1">
        <v>2.6480000000000001</v>
      </c>
      <c r="C439" s="5">
        <v>2</v>
      </c>
      <c r="D439" s="5">
        <v>438</v>
      </c>
    </row>
    <row r="440" spans="1:4" x14ac:dyDescent="0.25">
      <c r="A440" t="s">
        <v>213</v>
      </c>
      <c r="B440" s="1">
        <v>2.6429999999999998</v>
      </c>
      <c r="C440" s="5">
        <v>13</v>
      </c>
      <c r="D440" s="5">
        <v>439</v>
      </c>
    </row>
    <row r="441" spans="1:4" x14ac:dyDescent="0.25">
      <c r="A441" t="s">
        <v>516</v>
      </c>
      <c r="B441" s="1">
        <v>2.6389999999999998</v>
      </c>
      <c r="C441" s="5">
        <v>2</v>
      </c>
      <c r="D441" s="5">
        <v>440</v>
      </c>
    </row>
    <row r="442" spans="1:4" x14ac:dyDescent="0.25">
      <c r="A442" t="s">
        <v>251</v>
      </c>
      <c r="B442" s="1">
        <v>2.6360000000000001</v>
      </c>
      <c r="C442" s="5">
        <v>2</v>
      </c>
      <c r="D442" s="5">
        <v>441</v>
      </c>
    </row>
    <row r="443" spans="1:4" x14ac:dyDescent="0.25">
      <c r="A443" t="s">
        <v>509</v>
      </c>
      <c r="B443" s="1">
        <v>2.6339999999999999</v>
      </c>
      <c r="C443" s="5">
        <v>2</v>
      </c>
      <c r="D443" s="5">
        <v>442</v>
      </c>
    </row>
    <row r="444" spans="1:4" x14ac:dyDescent="0.25">
      <c r="A444" t="s">
        <v>421</v>
      </c>
      <c r="B444" s="1">
        <v>2.6339999999999999</v>
      </c>
      <c r="C444" s="5">
        <v>4</v>
      </c>
      <c r="D444" s="5">
        <v>443</v>
      </c>
    </row>
    <row r="445" spans="1:4" x14ac:dyDescent="0.25">
      <c r="A445" t="s">
        <v>229</v>
      </c>
      <c r="B445" s="1">
        <v>2.6179999999999999</v>
      </c>
      <c r="C445" s="5">
        <v>5</v>
      </c>
      <c r="D445" s="5">
        <v>444</v>
      </c>
    </row>
    <row r="446" spans="1:4" x14ac:dyDescent="0.25">
      <c r="A446" t="s">
        <v>529</v>
      </c>
      <c r="B446" s="1">
        <v>2.6160000000000001</v>
      </c>
      <c r="C446" s="5">
        <v>4</v>
      </c>
      <c r="D446" s="5">
        <v>445</v>
      </c>
    </row>
    <row r="447" spans="1:4" x14ac:dyDescent="0.25">
      <c r="A447" t="s">
        <v>193</v>
      </c>
      <c r="B447" s="1">
        <v>2.6139999999999999</v>
      </c>
      <c r="C447" s="5">
        <v>16</v>
      </c>
      <c r="D447" s="5">
        <v>446</v>
      </c>
    </row>
    <row r="448" spans="1:4" x14ac:dyDescent="0.25">
      <c r="A448" t="s">
        <v>203</v>
      </c>
      <c r="B448" s="1">
        <v>2.605</v>
      </c>
      <c r="C448" s="5">
        <v>8</v>
      </c>
      <c r="D448" s="5">
        <v>447</v>
      </c>
    </row>
    <row r="449" spans="1:4" x14ac:dyDescent="0.25">
      <c r="A449" t="s">
        <v>189</v>
      </c>
      <c r="B449" s="1">
        <v>2.601</v>
      </c>
      <c r="C449" s="5">
        <v>3</v>
      </c>
      <c r="D449" s="5">
        <v>448</v>
      </c>
    </row>
    <row r="450" spans="1:4" x14ac:dyDescent="0.25">
      <c r="A450" t="s">
        <v>341</v>
      </c>
      <c r="B450" s="1">
        <v>2.6</v>
      </c>
      <c r="C450" s="5">
        <v>1</v>
      </c>
      <c r="D450" s="5">
        <v>449</v>
      </c>
    </row>
    <row r="451" spans="1:4" x14ac:dyDescent="0.25">
      <c r="A451" t="s">
        <v>426</v>
      </c>
      <c r="B451" s="1">
        <v>2.6</v>
      </c>
      <c r="C451" s="5">
        <v>2</v>
      </c>
      <c r="D451" s="5">
        <v>450</v>
      </c>
    </row>
    <row r="452" spans="1:4" x14ac:dyDescent="0.25">
      <c r="A452" t="s">
        <v>288</v>
      </c>
      <c r="B452" s="1">
        <v>2.5939999999999999</v>
      </c>
      <c r="C452" s="5">
        <v>13</v>
      </c>
      <c r="D452" s="5">
        <v>451</v>
      </c>
    </row>
    <row r="453" spans="1:4" x14ac:dyDescent="0.25">
      <c r="A453" t="s">
        <v>228</v>
      </c>
      <c r="B453" s="1">
        <v>2.5910000000000002</v>
      </c>
      <c r="C453" s="5">
        <v>11</v>
      </c>
      <c r="D453" s="5">
        <v>452</v>
      </c>
    </row>
    <row r="454" spans="1:4" x14ac:dyDescent="0.25">
      <c r="A454" t="s">
        <v>521</v>
      </c>
      <c r="B454" s="1">
        <v>2.5880000000000001</v>
      </c>
      <c r="C454" s="5">
        <v>1</v>
      </c>
      <c r="D454" s="5">
        <v>453</v>
      </c>
    </row>
    <row r="455" spans="1:4" x14ac:dyDescent="0.25">
      <c r="A455" t="s">
        <v>395</v>
      </c>
      <c r="B455" s="1">
        <v>2.5880000000000001</v>
      </c>
      <c r="C455" s="5">
        <v>6</v>
      </c>
      <c r="D455" s="5">
        <v>454</v>
      </c>
    </row>
    <row r="456" spans="1:4" x14ac:dyDescent="0.25">
      <c r="A456" t="s">
        <v>230</v>
      </c>
      <c r="B456" s="1">
        <v>2.5819999999999999</v>
      </c>
      <c r="C456" s="5">
        <v>1</v>
      </c>
      <c r="D456" s="5">
        <v>455</v>
      </c>
    </row>
    <row r="457" spans="1:4" x14ac:dyDescent="0.25">
      <c r="A457" t="s">
        <v>289</v>
      </c>
      <c r="B457" s="1">
        <v>2.58</v>
      </c>
      <c r="C457" s="5">
        <v>5</v>
      </c>
      <c r="D457" s="5">
        <v>456</v>
      </c>
    </row>
    <row r="458" spans="1:4" x14ac:dyDescent="0.25">
      <c r="A458" t="s">
        <v>231</v>
      </c>
      <c r="B458" s="1">
        <v>2.57</v>
      </c>
      <c r="C458" s="5">
        <v>2</v>
      </c>
      <c r="D458" s="5">
        <v>457</v>
      </c>
    </row>
    <row r="459" spans="1:4" x14ac:dyDescent="0.25">
      <c r="A459" t="s">
        <v>386</v>
      </c>
      <c r="B459" s="1">
        <v>2.57</v>
      </c>
      <c r="C459" s="5">
        <v>2</v>
      </c>
      <c r="D459" s="5">
        <v>458</v>
      </c>
    </row>
    <row r="460" spans="1:4" x14ac:dyDescent="0.25">
      <c r="A460" t="s">
        <v>202</v>
      </c>
      <c r="B460" s="1">
        <v>2.5680000000000001</v>
      </c>
      <c r="C460" s="5">
        <v>3</v>
      </c>
      <c r="D460" s="5">
        <v>459</v>
      </c>
    </row>
    <row r="461" spans="1:4" x14ac:dyDescent="0.25">
      <c r="A461" t="s">
        <v>530</v>
      </c>
      <c r="B461" s="1">
        <v>2.5640000000000001</v>
      </c>
      <c r="C461" s="5">
        <v>1</v>
      </c>
      <c r="D461" s="5">
        <v>460</v>
      </c>
    </row>
    <row r="462" spans="1:4" x14ac:dyDescent="0.25">
      <c r="A462" t="s">
        <v>473</v>
      </c>
      <c r="B462" s="1">
        <v>2.56</v>
      </c>
      <c r="C462" s="5">
        <v>2</v>
      </c>
      <c r="D462" s="5">
        <v>461</v>
      </c>
    </row>
    <row r="463" spans="1:4" x14ac:dyDescent="0.25">
      <c r="A463" t="s">
        <v>475</v>
      </c>
      <c r="B463" s="1">
        <v>2.556</v>
      </c>
      <c r="C463" s="5">
        <v>2</v>
      </c>
      <c r="D463" s="5">
        <v>462</v>
      </c>
    </row>
    <row r="464" spans="1:4" x14ac:dyDescent="0.25">
      <c r="A464" t="s">
        <v>476</v>
      </c>
      <c r="B464" s="1">
        <v>2.552</v>
      </c>
      <c r="C464" s="5">
        <v>2</v>
      </c>
      <c r="D464" s="5">
        <v>463</v>
      </c>
    </row>
    <row r="465" spans="1:4" x14ac:dyDescent="0.25">
      <c r="A465" t="s">
        <v>477</v>
      </c>
      <c r="B465" s="1">
        <v>2.5459999999999998</v>
      </c>
      <c r="C465" s="5">
        <v>1</v>
      </c>
      <c r="D465" s="5">
        <v>464</v>
      </c>
    </row>
    <row r="466" spans="1:4" x14ac:dyDescent="0.25">
      <c r="A466" t="s">
        <v>478</v>
      </c>
      <c r="B466" s="1">
        <v>2.5459999999999998</v>
      </c>
      <c r="C466" s="5">
        <v>1</v>
      </c>
      <c r="D466" s="5">
        <v>465</v>
      </c>
    </row>
    <row r="467" spans="1:4" x14ac:dyDescent="0.25">
      <c r="A467" t="s">
        <v>479</v>
      </c>
      <c r="B467" s="1">
        <v>2.5419999999999998</v>
      </c>
      <c r="C467" s="5">
        <v>2</v>
      </c>
      <c r="D467" s="5">
        <v>466</v>
      </c>
    </row>
    <row r="468" spans="1:4" x14ac:dyDescent="0.25">
      <c r="A468" t="s">
        <v>159</v>
      </c>
      <c r="B468" s="1">
        <v>2.5409999999999999</v>
      </c>
      <c r="C468" s="5">
        <v>15</v>
      </c>
      <c r="D468" s="5">
        <v>467</v>
      </c>
    </row>
    <row r="469" spans="1:4" x14ac:dyDescent="0.25">
      <c r="A469" t="s">
        <v>292</v>
      </c>
      <c r="B469" s="1">
        <v>2.5249999999999999</v>
      </c>
      <c r="C469" s="5">
        <v>4</v>
      </c>
      <c r="D469" s="5">
        <v>468</v>
      </c>
    </row>
    <row r="470" spans="1:4" x14ac:dyDescent="0.25">
      <c r="A470" t="s">
        <v>474</v>
      </c>
      <c r="B470" s="1">
        <v>2.5249999999999999</v>
      </c>
      <c r="C470" s="5">
        <v>2</v>
      </c>
      <c r="D470" s="5">
        <v>469</v>
      </c>
    </row>
    <row r="471" spans="1:4" x14ac:dyDescent="0.25">
      <c r="A471" t="s">
        <v>233</v>
      </c>
      <c r="B471" s="1">
        <v>2.5219999999999998</v>
      </c>
      <c r="C471" s="5">
        <v>1</v>
      </c>
      <c r="D471" s="5">
        <v>470</v>
      </c>
    </row>
    <row r="472" spans="1:4" x14ac:dyDescent="0.25">
      <c r="A472" t="s">
        <v>260</v>
      </c>
      <c r="B472" s="1">
        <v>2.5219999999999998</v>
      </c>
      <c r="C472" s="5">
        <v>2</v>
      </c>
      <c r="D472" s="5">
        <v>471</v>
      </c>
    </row>
    <row r="473" spans="1:4" x14ac:dyDescent="0.25">
      <c r="A473" t="s">
        <v>234</v>
      </c>
      <c r="B473" s="1">
        <v>2.516</v>
      </c>
      <c r="C473" s="5">
        <v>2</v>
      </c>
      <c r="D473" s="5">
        <v>472</v>
      </c>
    </row>
    <row r="474" spans="1:4" x14ac:dyDescent="0.25">
      <c r="A474" t="s">
        <v>480</v>
      </c>
      <c r="B474" s="1">
        <v>2.5139999999999998</v>
      </c>
      <c r="C474" s="5">
        <v>4</v>
      </c>
      <c r="D474" s="5">
        <v>473</v>
      </c>
    </row>
    <row r="475" spans="1:4" x14ac:dyDescent="0.25">
      <c r="A475" t="s">
        <v>387</v>
      </c>
      <c r="B475" s="1">
        <v>2.5129999999999999</v>
      </c>
      <c r="C475" s="5">
        <v>4</v>
      </c>
      <c r="D475" s="5">
        <v>474</v>
      </c>
    </row>
    <row r="476" spans="1:4" x14ac:dyDescent="0.25">
      <c r="A476" t="s">
        <v>235</v>
      </c>
      <c r="B476" s="1">
        <v>2.512</v>
      </c>
      <c r="C476" s="5">
        <v>9</v>
      </c>
      <c r="D476" s="5">
        <v>475</v>
      </c>
    </row>
    <row r="477" spans="1:4" x14ac:dyDescent="0.25">
      <c r="A477" t="s">
        <v>216</v>
      </c>
      <c r="B477" s="1">
        <v>2.512</v>
      </c>
      <c r="C477" s="5">
        <v>19</v>
      </c>
      <c r="D477" s="5">
        <v>476</v>
      </c>
    </row>
    <row r="478" spans="1:4" x14ac:dyDescent="0.25">
      <c r="A478" t="s">
        <v>437</v>
      </c>
      <c r="B478" s="1">
        <v>2.5019999999999998</v>
      </c>
      <c r="C478" s="5">
        <v>8</v>
      </c>
      <c r="D478" s="5">
        <v>477</v>
      </c>
    </row>
    <row r="479" spans="1:4" x14ac:dyDescent="0.25">
      <c r="A479" t="s">
        <v>481</v>
      </c>
      <c r="B479" s="1">
        <v>2.5</v>
      </c>
      <c r="C479" s="5">
        <v>3</v>
      </c>
      <c r="D479" s="5">
        <v>478</v>
      </c>
    </row>
    <row r="480" spans="1:4" x14ac:dyDescent="0.25">
      <c r="A480" t="s">
        <v>293</v>
      </c>
      <c r="B480" s="1">
        <v>2.496</v>
      </c>
      <c r="C480" s="5">
        <v>1</v>
      </c>
      <c r="D480" s="5">
        <v>479</v>
      </c>
    </row>
    <row r="481" spans="1:4" x14ac:dyDescent="0.25">
      <c r="A481" t="s">
        <v>236</v>
      </c>
      <c r="B481" s="1">
        <v>2.4910000000000001</v>
      </c>
      <c r="C481" s="5">
        <v>1</v>
      </c>
      <c r="D481" s="5">
        <v>480</v>
      </c>
    </row>
    <row r="482" spans="1:4" x14ac:dyDescent="0.25">
      <c r="A482" t="s">
        <v>438</v>
      </c>
      <c r="B482" s="1">
        <v>2.48</v>
      </c>
      <c r="C482" s="5">
        <v>1</v>
      </c>
      <c r="D482" s="5">
        <v>481</v>
      </c>
    </row>
    <row r="483" spans="1:4" x14ac:dyDescent="0.25">
      <c r="A483" t="s">
        <v>427</v>
      </c>
      <c r="B483" s="1">
        <v>2.4780000000000002</v>
      </c>
      <c r="C483" s="5">
        <v>4</v>
      </c>
      <c r="D483" s="5">
        <v>482</v>
      </c>
    </row>
    <row r="484" spans="1:4" x14ac:dyDescent="0.25">
      <c r="A484" t="s">
        <v>250</v>
      </c>
      <c r="B484" s="1">
        <v>2.4780000000000002</v>
      </c>
      <c r="C484" s="5">
        <v>1</v>
      </c>
      <c r="D484" s="5">
        <v>483</v>
      </c>
    </row>
    <row r="485" spans="1:4" x14ac:dyDescent="0.25">
      <c r="A485" t="s">
        <v>429</v>
      </c>
      <c r="B485" s="1">
        <v>2.476</v>
      </c>
      <c r="C485" s="5">
        <v>2</v>
      </c>
      <c r="D485" s="5">
        <v>484</v>
      </c>
    </row>
    <row r="486" spans="1:4" x14ac:dyDescent="0.25">
      <c r="A486" t="s">
        <v>487</v>
      </c>
      <c r="B486" s="1">
        <v>2.472</v>
      </c>
      <c r="C486" s="5">
        <v>3</v>
      </c>
      <c r="D486" s="5">
        <v>485</v>
      </c>
    </row>
    <row r="487" spans="1:4" x14ac:dyDescent="0.25">
      <c r="A487" t="s">
        <v>390</v>
      </c>
      <c r="B487" s="1">
        <v>2.472</v>
      </c>
      <c r="C487" s="5">
        <v>7</v>
      </c>
      <c r="D487" s="5">
        <v>486</v>
      </c>
    </row>
    <row r="488" spans="1:4" x14ac:dyDescent="0.25">
      <c r="A488" t="s">
        <v>428</v>
      </c>
      <c r="B488" s="1">
        <v>2.464</v>
      </c>
      <c r="C488" s="5">
        <v>3</v>
      </c>
      <c r="D488" s="5">
        <v>487</v>
      </c>
    </row>
    <row r="489" spans="1:4" x14ac:dyDescent="0.25">
      <c r="A489" t="s">
        <v>294</v>
      </c>
      <c r="B489" s="1">
        <v>2.4580000000000002</v>
      </c>
      <c r="C489" s="5">
        <v>1</v>
      </c>
      <c r="D489" s="5">
        <v>488</v>
      </c>
    </row>
    <row r="490" spans="1:4" x14ac:dyDescent="0.25">
      <c r="A490" t="s">
        <v>482</v>
      </c>
      <c r="B490" s="1">
        <v>2.4540000000000002</v>
      </c>
      <c r="C490" s="5">
        <v>1</v>
      </c>
      <c r="D490" s="5">
        <v>489</v>
      </c>
    </row>
    <row r="491" spans="1:4" x14ac:dyDescent="0.25">
      <c r="A491" t="s">
        <v>430</v>
      </c>
      <c r="B491" s="1">
        <v>2.4540000000000002</v>
      </c>
      <c r="C491" s="5">
        <v>1</v>
      </c>
      <c r="D491" s="5">
        <v>490</v>
      </c>
    </row>
    <row r="492" spans="1:4" x14ac:dyDescent="0.25">
      <c r="A492" t="s">
        <v>483</v>
      </c>
      <c r="B492" s="1">
        <v>2.4420000000000002</v>
      </c>
      <c r="C492" s="5">
        <v>2</v>
      </c>
      <c r="D492" s="5">
        <v>491</v>
      </c>
    </row>
    <row r="493" spans="1:4" x14ac:dyDescent="0.25">
      <c r="A493" t="s">
        <v>389</v>
      </c>
      <c r="B493" s="1">
        <v>2.44</v>
      </c>
      <c r="C493" s="5">
        <v>1</v>
      </c>
      <c r="D493" s="5">
        <v>492</v>
      </c>
    </row>
    <row r="494" spans="1:4" x14ac:dyDescent="0.25">
      <c r="A494" t="s">
        <v>238</v>
      </c>
      <c r="B494" s="1">
        <v>2.4390000000000001</v>
      </c>
      <c r="C494" s="5">
        <v>1</v>
      </c>
      <c r="D494" s="5">
        <v>493</v>
      </c>
    </row>
    <row r="495" spans="1:4" x14ac:dyDescent="0.25">
      <c r="A495" t="s">
        <v>197</v>
      </c>
      <c r="B495" s="1">
        <v>2.4380000000000002</v>
      </c>
      <c r="C495" s="5">
        <v>21</v>
      </c>
      <c r="D495" s="5">
        <v>494</v>
      </c>
    </row>
    <row r="496" spans="1:4" x14ac:dyDescent="0.25">
      <c r="A496" t="s">
        <v>240</v>
      </c>
      <c r="B496" s="1">
        <v>2.4279999999999999</v>
      </c>
      <c r="C496" s="5">
        <v>1</v>
      </c>
      <c r="D496" s="5">
        <v>495</v>
      </c>
    </row>
    <row r="497" spans="1:4" x14ac:dyDescent="0.25">
      <c r="A497" t="s">
        <v>388</v>
      </c>
      <c r="B497" s="1">
        <v>2.427</v>
      </c>
      <c r="C497" s="5">
        <v>3</v>
      </c>
      <c r="D497" s="5">
        <v>496</v>
      </c>
    </row>
    <row r="498" spans="1:4" x14ac:dyDescent="0.25">
      <c r="A498" t="s">
        <v>249</v>
      </c>
      <c r="B498" s="1">
        <v>2.42</v>
      </c>
      <c r="C498" s="5">
        <v>4</v>
      </c>
      <c r="D498" s="5">
        <v>497</v>
      </c>
    </row>
    <row r="499" spans="1:4" x14ac:dyDescent="0.25">
      <c r="A499" t="s">
        <v>431</v>
      </c>
      <c r="B499" s="1">
        <v>2.4180000000000001</v>
      </c>
      <c r="C499" s="5">
        <v>3</v>
      </c>
      <c r="D499" s="5">
        <v>498</v>
      </c>
    </row>
    <row r="500" spans="1:4" x14ac:dyDescent="0.25">
      <c r="A500" t="s">
        <v>515</v>
      </c>
      <c r="B500" s="1">
        <v>2.4</v>
      </c>
      <c r="C500" s="5">
        <v>2</v>
      </c>
      <c r="D500" s="5">
        <v>499</v>
      </c>
    </row>
    <row r="501" spans="1:4" x14ac:dyDescent="0.25">
      <c r="A501" t="s">
        <v>255</v>
      </c>
      <c r="B501" s="1">
        <v>2.3980000000000001</v>
      </c>
      <c r="C501" s="5">
        <v>12</v>
      </c>
      <c r="D501" s="5">
        <v>500</v>
      </c>
    </row>
    <row r="502" spans="1:4" x14ac:dyDescent="0.25">
      <c r="A502" t="s">
        <v>297</v>
      </c>
      <c r="B502" s="1">
        <v>2.3940000000000001</v>
      </c>
      <c r="C502" s="5">
        <v>3</v>
      </c>
      <c r="D502" s="5">
        <v>501</v>
      </c>
    </row>
    <row r="503" spans="1:4" x14ac:dyDescent="0.25">
      <c r="A503" t="s">
        <v>210</v>
      </c>
      <c r="B503" s="1">
        <v>2.3839999999999999</v>
      </c>
      <c r="C503" s="5">
        <v>11</v>
      </c>
      <c r="D503" s="5">
        <v>502</v>
      </c>
    </row>
    <row r="504" spans="1:4" x14ac:dyDescent="0.25">
      <c r="A504" t="s">
        <v>511</v>
      </c>
      <c r="B504" s="1">
        <v>2.3610000000000002</v>
      </c>
      <c r="C504" s="5">
        <v>1</v>
      </c>
      <c r="D504" s="5">
        <v>503</v>
      </c>
    </row>
    <row r="505" spans="1:4" x14ac:dyDescent="0.25">
      <c r="A505" t="s">
        <v>295</v>
      </c>
      <c r="B505" s="1">
        <v>2.36</v>
      </c>
      <c r="C505" s="5">
        <v>7</v>
      </c>
      <c r="D505" s="5">
        <v>504</v>
      </c>
    </row>
    <row r="506" spans="1:4" x14ac:dyDescent="0.25">
      <c r="A506" t="s">
        <v>239</v>
      </c>
      <c r="B506" s="1">
        <v>2.331</v>
      </c>
      <c r="C506" s="5">
        <v>6</v>
      </c>
      <c r="D506" s="5">
        <v>505</v>
      </c>
    </row>
    <row r="507" spans="1:4" x14ac:dyDescent="0.25">
      <c r="A507" t="s">
        <v>436</v>
      </c>
      <c r="B507" s="1">
        <v>2.33</v>
      </c>
      <c r="C507" s="5">
        <v>11</v>
      </c>
      <c r="D507" s="5">
        <v>506</v>
      </c>
    </row>
    <row r="508" spans="1:4" x14ac:dyDescent="0.25">
      <c r="A508" t="s">
        <v>317</v>
      </c>
      <c r="B508" s="1">
        <v>2.3250000000000002</v>
      </c>
      <c r="C508" s="5">
        <v>6</v>
      </c>
      <c r="D508" s="5">
        <v>507</v>
      </c>
    </row>
    <row r="509" spans="1:4" x14ac:dyDescent="0.25">
      <c r="A509" t="s">
        <v>261</v>
      </c>
      <c r="B509" s="1">
        <v>2.3239999999999998</v>
      </c>
      <c r="C509" s="5">
        <v>2</v>
      </c>
      <c r="D509" s="5">
        <v>508</v>
      </c>
    </row>
    <row r="510" spans="1:4" x14ac:dyDescent="0.25">
      <c r="A510" t="s">
        <v>391</v>
      </c>
      <c r="B510" s="1">
        <v>2.3199999999999998</v>
      </c>
      <c r="C510" s="5">
        <v>2</v>
      </c>
      <c r="D510" s="5">
        <v>509</v>
      </c>
    </row>
    <row r="511" spans="1:4" x14ac:dyDescent="0.25">
      <c r="A511" t="s">
        <v>392</v>
      </c>
      <c r="B511" s="1">
        <v>2.3140000000000001</v>
      </c>
      <c r="C511" s="5">
        <v>2</v>
      </c>
      <c r="D511" s="5">
        <v>510</v>
      </c>
    </row>
    <row r="512" spans="1:4" x14ac:dyDescent="0.25">
      <c r="A512" t="s">
        <v>227</v>
      </c>
      <c r="B512" s="1">
        <v>2.31</v>
      </c>
      <c r="C512" s="5">
        <v>7</v>
      </c>
      <c r="D512" s="5">
        <v>511</v>
      </c>
    </row>
    <row r="513" spans="1:4" x14ac:dyDescent="0.25">
      <c r="A513" t="s">
        <v>242</v>
      </c>
      <c r="B513" s="1">
        <v>2.31</v>
      </c>
      <c r="C513" s="5">
        <v>7</v>
      </c>
      <c r="D513" s="5">
        <v>512</v>
      </c>
    </row>
    <row r="514" spans="1:4" x14ac:dyDescent="0.25">
      <c r="A514" t="s">
        <v>393</v>
      </c>
      <c r="B514" s="1">
        <v>2.2890000000000001</v>
      </c>
      <c r="C514" s="5">
        <v>4</v>
      </c>
      <c r="D514" s="5">
        <v>513</v>
      </c>
    </row>
    <row r="515" spans="1:4" x14ac:dyDescent="0.25">
      <c r="A515" t="s">
        <v>243</v>
      </c>
      <c r="B515" s="1">
        <v>2.2799999999999998</v>
      </c>
      <c r="C515" s="5">
        <v>7</v>
      </c>
      <c r="D515" s="5">
        <v>514</v>
      </c>
    </row>
    <row r="516" spans="1:4" x14ac:dyDescent="0.25">
      <c r="A516" t="s">
        <v>484</v>
      </c>
      <c r="B516" s="1">
        <v>2.278</v>
      </c>
      <c r="C516" s="5">
        <v>1</v>
      </c>
      <c r="D516" s="5">
        <v>515</v>
      </c>
    </row>
    <row r="517" spans="1:4" x14ac:dyDescent="0.25">
      <c r="A517" t="s">
        <v>432</v>
      </c>
      <c r="B517" s="1">
        <v>2.218</v>
      </c>
      <c r="C517" s="5">
        <v>1</v>
      </c>
      <c r="D517" s="5">
        <v>516</v>
      </c>
    </row>
    <row r="518" spans="1:4" x14ac:dyDescent="0.25">
      <c r="A518" t="s">
        <v>489</v>
      </c>
      <c r="B518" s="1">
        <v>2.1930000000000001</v>
      </c>
      <c r="C518" s="5">
        <v>4</v>
      </c>
      <c r="D518" s="5">
        <v>517</v>
      </c>
    </row>
    <row r="519" spans="1:4" x14ac:dyDescent="0.25">
      <c r="A519" t="s">
        <v>296</v>
      </c>
      <c r="B519" s="1">
        <v>2.19</v>
      </c>
      <c r="C519" s="5">
        <v>7</v>
      </c>
      <c r="D519" s="5">
        <v>518</v>
      </c>
    </row>
    <row r="520" spans="1:4" x14ac:dyDescent="0.25">
      <c r="A520" t="s">
        <v>315</v>
      </c>
      <c r="B520" s="1">
        <v>2.1800000000000002</v>
      </c>
      <c r="C520" s="5">
        <v>1</v>
      </c>
      <c r="D520" s="5">
        <v>519</v>
      </c>
    </row>
    <row r="521" spans="1:4" x14ac:dyDescent="0.25">
      <c r="A521" t="s">
        <v>433</v>
      </c>
      <c r="B521" s="1">
        <v>2.1760000000000002</v>
      </c>
      <c r="C521" s="5">
        <v>1</v>
      </c>
      <c r="D521" s="5">
        <v>520</v>
      </c>
    </row>
    <row r="522" spans="1:4" x14ac:dyDescent="0.25">
      <c r="A522" t="s">
        <v>241</v>
      </c>
      <c r="B522" s="1">
        <v>2.1520000000000001</v>
      </c>
      <c r="C522" s="5">
        <v>2</v>
      </c>
      <c r="D522" s="5">
        <v>521</v>
      </c>
    </row>
    <row r="523" spans="1:4" x14ac:dyDescent="0.25">
      <c r="A523" t="s">
        <v>247</v>
      </c>
      <c r="B523" s="1">
        <v>2.1320000000000001</v>
      </c>
      <c r="C523" s="5">
        <v>1</v>
      </c>
      <c r="D523" s="5">
        <v>522</v>
      </c>
    </row>
    <row r="524" spans="1:4" x14ac:dyDescent="0.25">
      <c r="A524" t="s">
        <v>346</v>
      </c>
      <c r="B524" s="1">
        <v>2.1269999999999998</v>
      </c>
      <c r="C524" s="5">
        <v>18</v>
      </c>
      <c r="D524" s="5">
        <v>523</v>
      </c>
    </row>
  </sheetData>
  <autoFilter ref="A1:D524" xr:uid="{FFB0F884-E0F0-47AF-9C5C-8541A4EAB73F}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792128-5E05-4714-B2F9-58D8C1CD0C48}">
  <sheetPr codeName="Sheet2"/>
  <dimension ref="A1:D41"/>
  <sheetViews>
    <sheetView tabSelected="1" workbookViewId="0">
      <pane ySplit="1" topLeftCell="A2" activePane="bottomLeft" state="frozen"/>
      <selection pane="bottomLeft" sqref="A1:XFD1048576"/>
    </sheetView>
  </sheetViews>
  <sheetFormatPr defaultRowHeight="15" x14ac:dyDescent="0.25"/>
  <cols>
    <col min="1" max="1" width="10.5703125" style="5" bestFit="1" customWidth="1"/>
    <col min="2" max="2" width="23" bestFit="1" customWidth="1"/>
    <col min="3" max="3" width="8.85546875" style="1" bestFit="1" customWidth="1"/>
    <col min="4" max="4" width="7.5703125" style="5" bestFit="1" customWidth="1"/>
  </cols>
  <sheetData>
    <row r="1" spans="1:4" s="2" customFormat="1" x14ac:dyDescent="0.25">
      <c r="A1" s="4" t="s">
        <v>245</v>
      </c>
      <c r="B1" s="2" t="s">
        <v>246</v>
      </c>
      <c r="C1" s="3" t="s">
        <v>257</v>
      </c>
      <c r="D1" s="4" t="s">
        <v>256</v>
      </c>
    </row>
    <row r="2" spans="1:4" x14ac:dyDescent="0.25">
      <c r="A2" s="6">
        <v>1</v>
      </c>
      <c r="B2" t="s">
        <v>62</v>
      </c>
      <c r="C2" s="7">
        <f>_xlfn.IFNA(VLOOKUP(B2,DOUBLESRANKING,2,FALSE), 0)</f>
        <v>3.83</v>
      </c>
      <c r="D2" s="6">
        <f>_xlfn.IFNA(VLOOKUP(B2,DOUBLESRANKING,4,FALSE), 0)</f>
        <v>55</v>
      </c>
    </row>
    <row r="3" spans="1:4" x14ac:dyDescent="0.25">
      <c r="A3" s="6">
        <v>2</v>
      </c>
      <c r="B3" t="s">
        <v>74</v>
      </c>
      <c r="C3" s="12">
        <f>_xlfn.IFNA(VLOOKUP(B3,DOUBLESRANKING,2,FALSE), 0)</f>
        <v>3.605</v>
      </c>
      <c r="D3" s="6">
        <f>_xlfn.IFNA(VLOOKUP(B3,DOUBLESRANKING,4,FALSE), 0)</f>
        <v>93</v>
      </c>
    </row>
    <row r="4" spans="1:4" x14ac:dyDescent="0.25">
      <c r="A4" s="6">
        <v>3</v>
      </c>
      <c r="B4" t="s">
        <v>58</v>
      </c>
      <c r="C4" s="13">
        <f>_xlfn.IFNA(VLOOKUP(B4,DOUBLESRANKING,2,FALSE), 0)</f>
        <v>3.4710000000000001</v>
      </c>
      <c r="D4" s="6">
        <f>_xlfn.IFNA(VLOOKUP(B4,DOUBLESRANKING,4,FALSE), 0)</f>
        <v>126</v>
      </c>
    </row>
    <row r="5" spans="1:4" x14ac:dyDescent="0.25">
      <c r="A5" s="6">
        <v>4</v>
      </c>
      <c r="B5" t="s">
        <v>171</v>
      </c>
      <c r="C5" s="13">
        <f>_xlfn.IFNA(VLOOKUP(B5,DOUBLESRANKING,2,FALSE), 0)</f>
        <v>3.2850000000000001</v>
      </c>
      <c r="D5" s="6">
        <f>_xlfn.IFNA(VLOOKUP(B5,DOUBLESRANKING,4,FALSE), 0)</f>
        <v>166</v>
      </c>
    </row>
    <row r="6" spans="1:4" x14ac:dyDescent="0.25">
      <c r="A6" s="6">
        <v>5</v>
      </c>
      <c r="B6" t="s">
        <v>188</v>
      </c>
      <c r="C6" s="12">
        <f>_xlfn.IFNA(VLOOKUP(B6,DOUBLESRANKING,2,FALSE), 0)</f>
        <v>3.2839999999999998</v>
      </c>
      <c r="D6" s="6">
        <f>_xlfn.IFNA(VLOOKUP(B6,DOUBLESRANKING,4,FALSE), 0)</f>
        <v>167</v>
      </c>
    </row>
    <row r="7" spans="1:4" x14ac:dyDescent="0.25">
      <c r="A7" s="6">
        <v>6</v>
      </c>
      <c r="B7" t="s">
        <v>115</v>
      </c>
      <c r="C7" s="7">
        <f>_xlfn.IFNA(VLOOKUP(B7,DOUBLESRANKING,2,FALSE), 0)</f>
        <v>3.1059999999999999</v>
      </c>
      <c r="D7" s="6">
        <f>_xlfn.IFNA(VLOOKUP(B7,DOUBLESRANKING,4,FALSE), 0)</f>
        <v>225</v>
      </c>
    </row>
    <row r="8" spans="1:4" x14ac:dyDescent="0.25">
      <c r="A8" s="6">
        <v>7</v>
      </c>
      <c r="B8" t="s">
        <v>340</v>
      </c>
      <c r="C8" s="12">
        <f>_xlfn.IFNA(VLOOKUP(B8,DOUBLESRANKING,2,FALSE), 0)</f>
        <v>3.0579999999999998</v>
      </c>
      <c r="D8" s="6">
        <f>_xlfn.IFNA(VLOOKUP(B8,DOUBLESRANKING,4,FALSE), 0)</f>
        <v>242</v>
      </c>
    </row>
    <row r="9" spans="1:4" x14ac:dyDescent="0.25">
      <c r="A9" s="6">
        <v>8</v>
      </c>
      <c r="B9" t="s">
        <v>270</v>
      </c>
      <c r="C9" s="9">
        <f>_xlfn.IFNA(VLOOKUP(B9,DOUBLESRANKING,2,FALSE), 0)</f>
        <v>2.9990000000000001</v>
      </c>
      <c r="D9" s="6">
        <f>_xlfn.IFNA(VLOOKUP(B9,DOUBLESRANKING,4,FALSE), 0)</f>
        <v>264</v>
      </c>
    </row>
    <row r="10" spans="1:4" x14ac:dyDescent="0.25">
      <c r="A10" s="15">
        <v>9</v>
      </c>
      <c r="B10" t="s">
        <v>190</v>
      </c>
      <c r="C10" s="9">
        <f>_xlfn.IFNA(VLOOKUP(B10,DOUBLESRANKING,2,FALSE), 0)</f>
        <v>2.9460000000000002</v>
      </c>
      <c r="D10" s="15">
        <f>_xlfn.IFNA(VLOOKUP(B10,DOUBLESRANKING,4,FALSE), 0)</f>
        <v>283</v>
      </c>
    </row>
    <row r="11" spans="1:4" x14ac:dyDescent="0.25">
      <c r="A11" s="15">
        <v>10</v>
      </c>
      <c r="B11" t="s">
        <v>420</v>
      </c>
      <c r="C11" s="12">
        <f>_xlfn.IFNA(VLOOKUP(B11,DOUBLESRANKING,2,FALSE), 0)</f>
        <v>2.9089999999999998</v>
      </c>
      <c r="D11" s="15">
        <f>_xlfn.IFNA(VLOOKUP(B11,DOUBLESRANKING,4,FALSE), 0)</f>
        <v>302</v>
      </c>
    </row>
    <row r="12" spans="1:4" x14ac:dyDescent="0.25">
      <c r="A12" s="15">
        <v>11</v>
      </c>
      <c r="B12" t="s">
        <v>520</v>
      </c>
      <c r="C12" s="9">
        <f>_xlfn.IFNA(VLOOKUP(B12,DOUBLESRANKING,2,FALSE), 0)</f>
        <v>2.9060000000000001</v>
      </c>
      <c r="D12" s="15">
        <f>_xlfn.IFNA(VLOOKUP(B12,DOUBLESRANKING,4,FALSE), 0)</f>
        <v>303</v>
      </c>
    </row>
    <row r="13" spans="1:4" x14ac:dyDescent="0.25">
      <c r="A13" s="15">
        <v>12</v>
      </c>
      <c r="B13" t="s">
        <v>524</v>
      </c>
      <c r="C13" s="9">
        <f>_xlfn.IFNA(VLOOKUP(B13,DOUBLESRANKING,2,FALSE), 0)</f>
        <v>2.7610000000000001</v>
      </c>
      <c r="D13" s="15">
        <f>_xlfn.IFNA(VLOOKUP(B13,DOUBLESRANKING,4,FALSE), 0)</f>
        <v>372</v>
      </c>
    </row>
    <row r="14" spans="1:4" x14ac:dyDescent="0.25">
      <c r="A14" s="15">
        <v>13</v>
      </c>
      <c r="B14" t="s">
        <v>421</v>
      </c>
      <c r="C14" s="9">
        <f>_xlfn.IFNA(VLOOKUP(B14,DOUBLESRANKING,2,FALSE), 0)</f>
        <v>2.6339999999999999</v>
      </c>
      <c r="D14" s="15">
        <f>_xlfn.IFNA(VLOOKUP(B14,DOUBLESRANKING,4,FALSE), 0)</f>
        <v>443</v>
      </c>
    </row>
    <row r="15" spans="1:4" x14ac:dyDescent="0.25">
      <c r="A15" s="15">
        <v>14</v>
      </c>
      <c r="B15" t="s">
        <v>288</v>
      </c>
      <c r="C15" s="12">
        <f>_xlfn.IFNA(VLOOKUP(B15,DOUBLESRANKING,2,FALSE), 0)</f>
        <v>2.5939999999999999</v>
      </c>
      <c r="D15" s="15">
        <f>_xlfn.IFNA(VLOOKUP(B15,DOUBLESRANKING,4,FALSE), 0)</f>
        <v>451</v>
      </c>
    </row>
    <row r="16" spans="1:4" x14ac:dyDescent="0.25">
      <c r="A16" s="15">
        <v>15</v>
      </c>
      <c r="B16" t="s">
        <v>436</v>
      </c>
      <c r="C16" s="7">
        <f>_xlfn.IFNA(VLOOKUP(B16,DOUBLESRANKING,2,FALSE), 0)</f>
        <v>2.33</v>
      </c>
      <c r="D16" s="15">
        <f>_xlfn.IFNA(VLOOKUP(B16,DOUBLESRANKING,4,FALSE), 0)</f>
        <v>506</v>
      </c>
    </row>
    <row r="17" spans="1:4" x14ac:dyDescent="0.25">
      <c r="A17" s="15">
        <v>16</v>
      </c>
      <c r="B17" t="s">
        <v>539</v>
      </c>
      <c r="C17" s="12">
        <f>_xlfn.IFNA(VLOOKUP(B17,DOUBLESRANKING,2,FALSE), 0)</f>
        <v>0</v>
      </c>
      <c r="D17" s="15">
        <f>_xlfn.IFNA(VLOOKUP(B17,DOUBLESRANKING,4,FALSE), 0)</f>
        <v>0</v>
      </c>
    </row>
    <row r="18" spans="1:4" x14ac:dyDescent="0.25">
      <c r="A18" s="8">
        <v>17</v>
      </c>
      <c r="B18" t="s">
        <v>540</v>
      </c>
      <c r="C18" s="9">
        <f>_xlfn.IFNA(VLOOKUP(B18,DOUBLESRANKING,2,FALSE), 0)</f>
        <v>0</v>
      </c>
      <c r="D18" s="8">
        <f>_xlfn.IFNA(VLOOKUP(B18,DOUBLESRANKING,4,FALSE), 0)</f>
        <v>0</v>
      </c>
    </row>
    <row r="19" spans="1:4" x14ac:dyDescent="0.25">
      <c r="A19" s="8"/>
      <c r="C19" s="13"/>
      <c r="D19" s="8"/>
    </row>
    <row r="20" spans="1:4" x14ac:dyDescent="0.25">
      <c r="A20" s="8"/>
      <c r="C20" s="12"/>
      <c r="D20" s="8"/>
    </row>
    <row r="21" spans="1:4" x14ac:dyDescent="0.25">
      <c r="A21" s="8"/>
      <c r="C21" s="7"/>
      <c r="D21" s="8"/>
    </row>
    <row r="22" spans="1:4" x14ac:dyDescent="0.25">
      <c r="A22" s="8"/>
      <c r="C22" s="9"/>
      <c r="D22" s="8"/>
    </row>
    <row r="23" spans="1:4" x14ac:dyDescent="0.25">
      <c r="A23" s="8"/>
      <c r="C23" s="13"/>
      <c r="D23" s="8"/>
    </row>
    <row r="24" spans="1:4" x14ac:dyDescent="0.25">
      <c r="A24" s="8"/>
      <c r="C24" s="7"/>
      <c r="D24" s="8"/>
    </row>
    <row r="25" spans="1:4" x14ac:dyDescent="0.25">
      <c r="A25" s="8"/>
      <c r="C25" s="9"/>
      <c r="D25" s="8"/>
    </row>
    <row r="26" spans="1:4" x14ac:dyDescent="0.25">
      <c r="A26" s="16"/>
      <c r="C26" s="7"/>
      <c r="D26" s="16"/>
    </row>
    <row r="27" spans="1:4" x14ac:dyDescent="0.25">
      <c r="A27" s="16"/>
      <c r="C27" s="12"/>
      <c r="D27" s="16"/>
    </row>
    <row r="28" spans="1:4" x14ac:dyDescent="0.25">
      <c r="A28" s="16"/>
      <c r="C28" s="7"/>
      <c r="D28" s="16"/>
    </row>
    <row r="29" spans="1:4" x14ac:dyDescent="0.25">
      <c r="A29" s="16"/>
      <c r="C29" s="7"/>
      <c r="D29" s="16"/>
    </row>
    <row r="30" spans="1:4" x14ac:dyDescent="0.25">
      <c r="A30" s="16"/>
      <c r="C30" s="13"/>
      <c r="D30" s="16"/>
    </row>
    <row r="31" spans="1:4" x14ac:dyDescent="0.25">
      <c r="A31" s="16"/>
      <c r="B31" s="10"/>
      <c r="C31" s="13"/>
      <c r="D31" s="16"/>
    </row>
    <row r="32" spans="1:4" x14ac:dyDescent="0.25">
      <c r="A32" s="16"/>
      <c r="B32" s="10"/>
      <c r="C32" s="13"/>
      <c r="D32" s="16"/>
    </row>
    <row r="33" spans="1:4" x14ac:dyDescent="0.25">
      <c r="A33" s="16"/>
      <c r="B33" s="10"/>
      <c r="C33" s="13"/>
      <c r="D33" s="16"/>
    </row>
    <row r="34" spans="1:4" x14ac:dyDescent="0.25">
      <c r="A34" s="17"/>
      <c r="B34" s="11"/>
      <c r="C34" s="14"/>
      <c r="D34" s="17"/>
    </row>
    <row r="35" spans="1:4" x14ac:dyDescent="0.25">
      <c r="A35" s="17"/>
      <c r="B35" s="11"/>
      <c r="C35" s="14"/>
      <c r="D35" s="17"/>
    </row>
    <row r="36" spans="1:4" x14ac:dyDescent="0.25">
      <c r="A36" s="17"/>
      <c r="B36" s="11"/>
      <c r="C36" s="14"/>
      <c r="D36" s="17"/>
    </row>
    <row r="37" spans="1:4" x14ac:dyDescent="0.25">
      <c r="A37" s="17"/>
      <c r="B37" s="11"/>
      <c r="C37" s="14"/>
      <c r="D37" s="17"/>
    </row>
    <row r="38" spans="1:4" x14ac:dyDescent="0.25">
      <c r="A38" s="17"/>
      <c r="B38" s="11"/>
      <c r="C38" s="14"/>
      <c r="D38" s="17"/>
    </row>
    <row r="39" spans="1:4" x14ac:dyDescent="0.25">
      <c r="A39" s="17"/>
      <c r="B39" s="11"/>
      <c r="C39" s="14"/>
      <c r="D39" s="17"/>
    </row>
    <row r="40" spans="1:4" x14ac:dyDescent="0.25">
      <c r="A40" s="17"/>
      <c r="B40" s="11"/>
      <c r="C40" s="14"/>
      <c r="D40" s="17"/>
    </row>
    <row r="41" spans="1:4" x14ac:dyDescent="0.25">
      <c r="A41" s="17"/>
      <c r="B41" s="11"/>
      <c r="C41" s="14"/>
      <c r="D41" s="17"/>
    </row>
  </sheetData>
  <autoFilter ref="A1:D1" xr:uid="{00792128-5E05-4714-B2F9-58D8C1CD0C48}"/>
  <sortState xmlns:xlrd2="http://schemas.microsoft.com/office/spreadsheetml/2017/richdata2" ref="B2:C41">
    <sortCondition descending="1" ref="C1"/>
  </sortState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F768B-79A4-48D6-A7C1-56FCA754FAD3}">
  <sheetPr codeName="Sheet3"/>
  <dimension ref="A1:D31"/>
  <sheetViews>
    <sheetView workbookViewId="0">
      <pane ySplit="1" topLeftCell="A2" activePane="bottomLeft" state="frozen"/>
      <selection pane="bottomLeft" activeCell="F19" sqref="F19"/>
    </sheetView>
  </sheetViews>
  <sheetFormatPr defaultColWidth="10" defaultRowHeight="15" x14ac:dyDescent="0.25"/>
  <cols>
    <col min="1" max="1" width="7.85546875" style="5" bestFit="1" customWidth="1"/>
    <col min="2" max="2" width="16.5703125" bestFit="1" customWidth="1"/>
    <col min="3" max="3" width="9.5703125" style="1" bestFit="1" customWidth="1"/>
    <col min="4" max="4" width="12" style="5" bestFit="1" customWidth="1"/>
  </cols>
  <sheetData>
    <row r="1" spans="1:4" s="2" customFormat="1" x14ac:dyDescent="0.25">
      <c r="A1" s="4" t="s">
        <v>0</v>
      </c>
      <c r="B1" s="2" t="s">
        <v>1</v>
      </c>
      <c r="C1" s="3" t="s">
        <v>2</v>
      </c>
      <c r="D1" s="4" t="s">
        <v>3</v>
      </c>
    </row>
    <row r="2" spans="1:4" x14ac:dyDescent="0.25">
      <c r="A2" s="5">
        <v>1</v>
      </c>
      <c r="B2" t="s">
        <v>7</v>
      </c>
      <c r="C2" s="1">
        <v>4.75</v>
      </c>
      <c r="D2" s="5">
        <v>1</v>
      </c>
    </row>
    <row r="3" spans="1:4" x14ac:dyDescent="0.25">
      <c r="A3" s="5">
        <v>2</v>
      </c>
      <c r="B3" t="s">
        <v>9</v>
      </c>
      <c r="C3" s="1">
        <v>4.67</v>
      </c>
      <c r="D3" s="5">
        <v>6</v>
      </c>
    </row>
    <row r="4" spans="1:4" x14ac:dyDescent="0.25">
      <c r="A4" s="5">
        <v>3</v>
      </c>
      <c r="B4" t="s">
        <v>27</v>
      </c>
      <c r="C4" s="1">
        <v>4.2649999999999997</v>
      </c>
      <c r="D4" s="5">
        <v>1</v>
      </c>
    </row>
    <row r="5" spans="1:4" x14ac:dyDescent="0.25">
      <c r="A5" s="5">
        <v>4</v>
      </c>
      <c r="B5" t="s">
        <v>23</v>
      </c>
      <c r="C5" s="1">
        <v>4.22</v>
      </c>
      <c r="D5" s="5">
        <v>1</v>
      </c>
    </row>
    <row r="6" spans="1:4" x14ac:dyDescent="0.25">
      <c r="A6" s="5">
        <v>5</v>
      </c>
      <c r="B6" t="s">
        <v>39</v>
      </c>
      <c r="C6" s="1">
        <v>4.17</v>
      </c>
      <c r="D6" s="5">
        <v>7</v>
      </c>
    </row>
    <row r="7" spans="1:4" x14ac:dyDescent="0.25">
      <c r="A7" s="5">
        <v>6</v>
      </c>
      <c r="B7" t="s">
        <v>21</v>
      </c>
      <c r="C7" s="1">
        <v>4.13</v>
      </c>
      <c r="D7" s="5">
        <v>2</v>
      </c>
    </row>
    <row r="8" spans="1:4" x14ac:dyDescent="0.25">
      <c r="A8" s="5">
        <v>7</v>
      </c>
      <c r="B8" t="s">
        <v>26</v>
      </c>
      <c r="C8" s="1">
        <v>4.07</v>
      </c>
      <c r="D8" s="5">
        <v>2</v>
      </c>
    </row>
    <row r="9" spans="1:4" x14ac:dyDescent="0.25">
      <c r="A9" s="5">
        <v>8</v>
      </c>
      <c r="B9" t="s">
        <v>298</v>
      </c>
      <c r="C9" s="1">
        <v>4.05</v>
      </c>
      <c r="D9" s="5">
        <v>1</v>
      </c>
    </row>
    <row r="10" spans="1:4" x14ac:dyDescent="0.25">
      <c r="A10" s="5">
        <v>9</v>
      </c>
      <c r="B10" t="s">
        <v>25</v>
      </c>
      <c r="C10" s="1">
        <v>3.9849999999999999</v>
      </c>
      <c r="D10" s="5">
        <v>1</v>
      </c>
    </row>
    <row r="11" spans="1:4" x14ac:dyDescent="0.25">
      <c r="A11" s="5">
        <v>10</v>
      </c>
      <c r="B11" t="s">
        <v>123</v>
      </c>
      <c r="C11" s="1">
        <v>3.95</v>
      </c>
      <c r="D11" s="5">
        <v>5</v>
      </c>
    </row>
    <row r="12" spans="1:4" x14ac:dyDescent="0.25">
      <c r="A12" s="5">
        <v>11</v>
      </c>
      <c r="B12" t="s">
        <v>120</v>
      </c>
      <c r="C12" s="1">
        <v>3.915</v>
      </c>
      <c r="D12" s="5">
        <v>3</v>
      </c>
    </row>
    <row r="13" spans="1:4" x14ac:dyDescent="0.25">
      <c r="A13" s="5">
        <v>12</v>
      </c>
      <c r="B13" t="s">
        <v>49</v>
      </c>
      <c r="C13" s="1">
        <v>3.8149999999999999</v>
      </c>
      <c r="D13" s="5">
        <v>2</v>
      </c>
    </row>
    <row r="14" spans="1:4" x14ac:dyDescent="0.25">
      <c r="A14" s="5">
        <v>13</v>
      </c>
      <c r="B14" t="s">
        <v>253</v>
      </c>
      <c r="C14" s="1">
        <v>3.8</v>
      </c>
      <c r="D14" s="5">
        <v>1</v>
      </c>
    </row>
    <row r="15" spans="1:4" x14ac:dyDescent="0.25">
      <c r="A15" s="5">
        <v>14</v>
      </c>
      <c r="B15" t="s">
        <v>55</v>
      </c>
      <c r="C15" s="1">
        <v>3.7850000000000001</v>
      </c>
      <c r="D15" s="5">
        <v>1</v>
      </c>
    </row>
    <row r="16" spans="1:4" x14ac:dyDescent="0.25">
      <c r="A16" s="5">
        <v>15</v>
      </c>
      <c r="B16" t="s">
        <v>61</v>
      </c>
      <c r="C16" s="1">
        <v>3.77</v>
      </c>
      <c r="D16" s="5">
        <v>1</v>
      </c>
    </row>
    <row r="17" spans="1:4" x14ac:dyDescent="0.25">
      <c r="A17" s="5">
        <v>16</v>
      </c>
      <c r="B17" t="s">
        <v>82</v>
      </c>
      <c r="C17" s="1">
        <v>3.5649999999999999</v>
      </c>
      <c r="D17" s="5">
        <v>1</v>
      </c>
    </row>
    <row r="18" spans="1:4" x14ac:dyDescent="0.25">
      <c r="A18" s="5">
        <v>17</v>
      </c>
      <c r="B18" t="s">
        <v>136</v>
      </c>
      <c r="C18" s="1">
        <v>3.56</v>
      </c>
      <c r="D18" s="5">
        <v>8</v>
      </c>
    </row>
    <row r="19" spans="1:4" x14ac:dyDescent="0.25">
      <c r="A19" s="5">
        <v>18</v>
      </c>
      <c r="B19" t="s">
        <v>78</v>
      </c>
      <c r="C19" s="1">
        <v>3.5350000000000001</v>
      </c>
      <c r="D19" s="5">
        <v>1</v>
      </c>
    </row>
    <row r="20" spans="1:4" x14ac:dyDescent="0.25">
      <c r="A20" s="5">
        <v>19</v>
      </c>
      <c r="B20" t="s">
        <v>102</v>
      </c>
      <c r="C20" s="1">
        <v>3.46</v>
      </c>
      <c r="D20" s="5">
        <v>5</v>
      </c>
    </row>
    <row r="21" spans="1:4" x14ac:dyDescent="0.25">
      <c r="A21" s="5">
        <v>20</v>
      </c>
      <c r="B21" t="s">
        <v>313</v>
      </c>
      <c r="C21" s="1">
        <v>3.4550000000000001</v>
      </c>
      <c r="D21" s="5">
        <v>1</v>
      </c>
    </row>
    <row r="22" spans="1:4" x14ac:dyDescent="0.25">
      <c r="A22" s="5">
        <v>21</v>
      </c>
      <c r="B22" t="s">
        <v>92</v>
      </c>
      <c r="C22" s="1">
        <v>3.415</v>
      </c>
      <c r="D22" s="5">
        <v>1</v>
      </c>
    </row>
    <row r="23" spans="1:4" x14ac:dyDescent="0.25">
      <c r="A23" s="5">
        <v>22</v>
      </c>
      <c r="B23" t="s">
        <v>160</v>
      </c>
      <c r="C23" s="1">
        <v>3.41</v>
      </c>
      <c r="D23" s="5">
        <v>1</v>
      </c>
    </row>
    <row r="24" spans="1:4" x14ac:dyDescent="0.25">
      <c r="A24" s="5">
        <v>23</v>
      </c>
      <c r="B24" t="s">
        <v>198</v>
      </c>
      <c r="C24" s="1">
        <v>3.395</v>
      </c>
      <c r="D24" s="5">
        <v>1</v>
      </c>
    </row>
    <row r="25" spans="1:4" x14ac:dyDescent="0.25">
      <c r="A25" s="5">
        <v>24</v>
      </c>
      <c r="B25" t="s">
        <v>280</v>
      </c>
      <c r="C25" s="1">
        <v>3.08</v>
      </c>
      <c r="D25" s="5">
        <v>1</v>
      </c>
    </row>
    <row r="26" spans="1:4" x14ac:dyDescent="0.25">
      <c r="A26" s="5">
        <v>25</v>
      </c>
      <c r="B26" t="s">
        <v>284</v>
      </c>
      <c r="C26" s="1">
        <v>3.02</v>
      </c>
      <c r="D26" s="5">
        <v>1</v>
      </c>
    </row>
    <row r="27" spans="1:4" x14ac:dyDescent="0.25">
      <c r="A27" s="5">
        <v>26</v>
      </c>
      <c r="B27" t="s">
        <v>332</v>
      </c>
      <c r="C27" s="1">
        <v>3</v>
      </c>
      <c r="D27" s="5">
        <v>1</v>
      </c>
    </row>
    <row r="28" spans="1:4" x14ac:dyDescent="0.25">
      <c r="A28" s="5">
        <v>27</v>
      </c>
      <c r="B28" t="s">
        <v>299</v>
      </c>
      <c r="C28" s="1">
        <v>2.9849999999999999</v>
      </c>
      <c r="D28" s="5">
        <v>1</v>
      </c>
    </row>
    <row r="29" spans="1:4" x14ac:dyDescent="0.25">
      <c r="A29" s="5">
        <v>28</v>
      </c>
      <c r="B29" t="s">
        <v>333</v>
      </c>
      <c r="C29" s="1">
        <v>2.9849999999999999</v>
      </c>
      <c r="D29" s="5">
        <v>1</v>
      </c>
    </row>
    <row r="30" spans="1:4" x14ac:dyDescent="0.25">
      <c r="A30" s="5">
        <v>29</v>
      </c>
      <c r="B30" t="s">
        <v>294</v>
      </c>
      <c r="C30" s="1">
        <v>2.9550000000000001</v>
      </c>
      <c r="D30" s="5">
        <v>1</v>
      </c>
    </row>
    <row r="31" spans="1:4" x14ac:dyDescent="0.25">
      <c r="A31" s="5">
        <v>30</v>
      </c>
      <c r="B31" t="s">
        <v>290</v>
      </c>
      <c r="C31" s="1">
        <v>2.93</v>
      </c>
      <c r="D31" s="5">
        <v>1</v>
      </c>
    </row>
  </sheetData>
  <autoFilter ref="A1:D31" xr:uid="{5D6F768B-79A4-48D6-A7C1-56FCA754FAD3}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00A98-6531-4D24-96AA-B068B8CA08F9}">
  <sheetPr codeName="Sheet4"/>
  <dimension ref="A1:C5"/>
  <sheetViews>
    <sheetView workbookViewId="0">
      <pane ySplit="1" topLeftCell="A2" activePane="bottomLeft" state="frozen"/>
      <selection pane="bottomLeft" activeCell="C9" sqref="C9"/>
    </sheetView>
  </sheetViews>
  <sheetFormatPr defaultRowHeight="15" x14ac:dyDescent="0.25"/>
  <cols>
    <col min="1" max="1" width="7.7109375" style="5" bestFit="1" customWidth="1"/>
    <col min="2" max="2" width="14.140625" bestFit="1" customWidth="1"/>
    <col min="3" max="3" width="7.42578125" style="1" bestFit="1" customWidth="1"/>
  </cols>
  <sheetData>
    <row r="1" spans="1:3" s="2" customFormat="1" x14ac:dyDescent="0.25">
      <c r="A1" s="4" t="s">
        <v>245</v>
      </c>
      <c r="B1" s="2" t="s">
        <v>246</v>
      </c>
      <c r="C1" s="3" t="s">
        <v>244</v>
      </c>
    </row>
    <row r="2" spans="1:3" x14ac:dyDescent="0.25">
      <c r="A2" s="5">
        <v>1</v>
      </c>
      <c r="B2" t="s">
        <v>123</v>
      </c>
      <c r="C2" s="1">
        <v>3.95</v>
      </c>
    </row>
    <row r="3" spans="1:3" x14ac:dyDescent="0.25">
      <c r="A3" s="5">
        <v>2</v>
      </c>
      <c r="B3" t="s">
        <v>160</v>
      </c>
      <c r="C3" s="1">
        <v>3.41</v>
      </c>
    </row>
    <row r="4" spans="1:3" x14ac:dyDescent="0.25">
      <c r="A4" s="5">
        <v>3</v>
      </c>
      <c r="B4" t="s">
        <v>340</v>
      </c>
      <c r="C4" s="1">
        <f>_xlfn.IFNA(VLOOKUP(B4,DOUBLESRANKING,2,FALSE), 0)</f>
        <v>3.0579999999999998</v>
      </c>
    </row>
    <row r="5" spans="1:3" x14ac:dyDescent="0.25">
      <c r="A5" s="5">
        <v>4</v>
      </c>
      <c r="B5" t="s">
        <v>313</v>
      </c>
      <c r="C5" s="1">
        <v>3.4550000000000001</v>
      </c>
    </row>
  </sheetData>
  <sortState xmlns:xlrd2="http://schemas.microsoft.com/office/spreadsheetml/2017/richdata2" ref="B2:C8">
    <sortCondition descending="1" ref="C1"/>
  </sortState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Late Tuesday</vt:lpstr>
      <vt:lpstr>Rank History</vt:lpstr>
      <vt:lpstr>Doubles Rankings</vt:lpstr>
      <vt:lpstr>Doubles Event</vt:lpstr>
      <vt:lpstr>Singles Rankings</vt:lpstr>
      <vt:lpstr>Singles Event</vt:lpstr>
      <vt:lpstr>DOUBLESRANKING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Mick Farrow</dc:creator>
  <cp:lastModifiedBy>Mick Farrow</cp:lastModifiedBy>
  <dcterms:created xsi:type="dcterms:W3CDTF">2023-10-06T13:16:53Z</dcterms:created>
  <dcterms:modified xsi:type="dcterms:W3CDTF">2024-04-10T05:29:46Z</dcterms:modified>
</cp:coreProperties>
</file>